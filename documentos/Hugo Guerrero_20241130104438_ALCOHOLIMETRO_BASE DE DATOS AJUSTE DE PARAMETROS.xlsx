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gpoatc-my.sharepoint.com/personal/hugo_guerrero_tlea_com_mx/Documents/Escritorio/"/>
    </mc:Choice>
  </mc:AlternateContent>
  <xr:revisionPtr revIDLastSave="59" documentId="8_{12802AEB-B05C-4750-8FEC-4E93ECD61F0A}" xr6:coauthVersionLast="47" xr6:coauthVersionMax="47" xr10:uidLastSave="{5E96E151-729C-4E06-B89F-D252FC9013C7}"/>
  <bookViews>
    <workbookView xWindow="-108" yWindow="-108" windowWidth="23256" windowHeight="12576" activeTab="1" xr2:uid="{EB94204B-012C-4727-AE7C-592C348CE9FA}"/>
  </bookViews>
  <sheets>
    <sheet name="BD Parametros" sheetId="17" r:id="rId1"/>
    <sheet name="Hoja2" sheetId="35" r:id="rId2"/>
    <sheet name="Hoja3" sheetId="22" state="hidden" r:id="rId3"/>
    <sheet name="Hoja1" sheetId="32" state="hidden" r:id="rId4"/>
    <sheet name="GRAFICO_UNID" sheetId="19" state="hidden" r:id="rId5"/>
    <sheet name="ESTRUCTURAS" sheetId="1" state="hidden" r:id="rId6"/>
  </sheets>
  <definedNames>
    <definedName name="_xlnm._FilterDatabase" localSheetId="0" hidden="1">'BD Parametros'!$C$1:$R$4</definedName>
    <definedName name="_xlnm._FilterDatabase" localSheetId="3" hidden="1">Hoja1!$A$1:$E$281</definedName>
    <definedName name="_xlnm._FilterDatabase" localSheetId="1" hidden="1">Hoja2!$A$1:$D$292</definedName>
    <definedName name="_xlnm._FilterDatabase" localSheetId="2" hidden="1">Hoja3!$A$1:$C$76</definedName>
    <definedName name="_xlnm.Print_Area" localSheetId="0">'BD Parametros'!$A$2:$M$76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5" l="1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" i="35"/>
  <c r="A305" i="17"/>
  <c r="N305" i="17"/>
  <c r="A295" i="17"/>
  <c r="N295" i="17"/>
  <c r="A294" i="17"/>
  <c r="N294" i="17"/>
  <c r="A293" i="17"/>
  <c r="N293" i="17"/>
  <c r="A292" i="17"/>
  <c r="N292" i="17"/>
  <c r="A304" i="17"/>
  <c r="N304" i="17"/>
  <c r="A291" i="17"/>
  <c r="N291" i="17"/>
  <c r="A290" i="17"/>
  <c r="N290" i="17"/>
  <c r="A289" i="17"/>
  <c r="N289" i="17"/>
  <c r="A288" i="17"/>
  <c r="N288" i="17"/>
  <c r="A287" i="17"/>
  <c r="N287" i="17"/>
  <c r="A286" i="17"/>
  <c r="N286" i="17"/>
  <c r="A285" i="17"/>
  <c r="N285" i="17"/>
  <c r="D1" i="17"/>
  <c r="D3" i="17"/>
  <c r="D2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A280" i="17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161" i="32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0" i="32"/>
  <c r="E191" i="32"/>
  <c r="E192" i="32"/>
  <c r="E193" i="32"/>
  <c r="E194" i="32"/>
  <c r="E195" i="32"/>
  <c r="E196" i="32"/>
  <c r="E197" i="32"/>
  <c r="E198" i="32"/>
  <c r="E199" i="32"/>
  <c r="E200" i="32"/>
  <c r="E201" i="32"/>
  <c r="E202" i="32"/>
  <c r="E203" i="32"/>
  <c r="E204" i="32"/>
  <c r="E205" i="32"/>
  <c r="E206" i="32"/>
  <c r="E207" i="32"/>
  <c r="E208" i="32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E256" i="32"/>
  <c r="E257" i="32"/>
  <c r="E258" i="32"/>
  <c r="E259" i="32"/>
  <c r="E260" i="32"/>
  <c r="E261" i="32"/>
  <c r="E262" i="32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75" i="32"/>
  <c r="E276" i="32"/>
  <c r="E277" i="32"/>
  <c r="E278" i="32"/>
  <c r="E279" i="32"/>
  <c r="E280" i="32"/>
  <c r="E281" i="32"/>
  <c r="E2" i="32"/>
  <c r="D4" i="17" l="1"/>
  <c r="A213" i="17"/>
  <c r="A210" i="17"/>
  <c r="A135" i="17"/>
  <c r="A276" i="17"/>
  <c r="A205" i="17" l="1"/>
  <c r="A133" i="17"/>
  <c r="A206" i="17" l="1"/>
  <c r="A207" i="17"/>
  <c r="A208" i="17"/>
  <c r="A209" i="17"/>
  <c r="A211" i="17"/>
  <c r="A212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2" i="17"/>
  <c r="A274" i="17"/>
  <c r="A275" i="17"/>
  <c r="A278" i="17"/>
  <c r="A281" i="17"/>
  <c r="A282" i="17"/>
  <c r="A283" i="17"/>
  <c r="A134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73" i="17"/>
  <c r="A66" i="17"/>
  <c r="A279" i="17"/>
  <c r="A277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7" i="17" l="1"/>
  <c r="A10" i="17" l="1"/>
  <c r="A11" i="17"/>
  <c r="A12" i="17"/>
  <c r="A13" i="17"/>
  <c r="A14" i="17"/>
  <c r="A15" i="17"/>
  <c r="A16" i="17"/>
  <c r="A18" i="17"/>
  <c r="A19" i="17"/>
  <c r="A6" i="17" l="1"/>
  <c r="A7" i="17"/>
  <c r="A8" i="17"/>
  <c r="A9" i="17"/>
  <c r="A284" i="17"/>
  <c r="A242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271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</calcChain>
</file>

<file path=xl/sharedStrings.xml><?xml version="1.0" encoding="utf-8"?>
<sst xmlns="http://schemas.openxmlformats.org/spreadsheetml/2006/main" count="5772" uniqueCount="1027">
  <si>
    <t>FLOTA TOTAL</t>
  </si>
  <si>
    <t>BASE DE DATOS  AJUSTE DE PARÁMETROS</t>
  </si>
  <si>
    <t>AJUSTES REALIZADOS</t>
  </si>
  <si>
    <t>AJUSTES PENDIENTES</t>
  </si>
  <si>
    <t>AVANCE</t>
  </si>
  <si>
    <t>F.MTA.026 
1-06/23</t>
  </si>
  <si>
    <t>TIPO ESTRUCTURA</t>
  </si>
  <si>
    <t>No. ECO</t>
  </si>
  <si>
    <t>VIN</t>
  </si>
  <si>
    <t>MARCA TRACTO</t>
  </si>
  <si>
    <t xml:space="preserve">MOTOR </t>
  </si>
  <si>
    <t>TIPO</t>
  </si>
  <si>
    <t>MODELO</t>
  </si>
  <si>
    <t>AÑO</t>
  </si>
  <si>
    <t>ESTRUCTURA</t>
  </si>
  <si>
    <t>TIPO2</t>
  </si>
  <si>
    <t>TIPO3</t>
  </si>
  <si>
    <t>ESTATUS</t>
  </si>
  <si>
    <t xml:space="preserve">REMOLQUE </t>
  </si>
  <si>
    <t>CLIENTE</t>
  </si>
  <si>
    <t>Ajuste</t>
  </si>
  <si>
    <t xml:space="preserve">FECHA DE AJUSTE </t>
  </si>
  <si>
    <t>BASE DONDE SE REALIZÓ</t>
  </si>
  <si>
    <t>C01</t>
  </si>
  <si>
    <t>5KKHAEDV5LPLX8876</t>
  </si>
  <si>
    <t>WESTERN STAR</t>
  </si>
  <si>
    <t>DETROIT DD15</t>
  </si>
  <si>
    <t>DD15</t>
  </si>
  <si>
    <t>COTTRELL</t>
  </si>
  <si>
    <t>QUINTA BAJA WS</t>
  </si>
  <si>
    <t>WS-COT</t>
  </si>
  <si>
    <t>CRECIMIENTO</t>
  </si>
  <si>
    <t>RE-C01</t>
  </si>
  <si>
    <t>NO</t>
  </si>
  <si>
    <t>Etiquetas de fila</t>
  </si>
  <si>
    <t>Cuenta de TIPO ESTRUCTURA</t>
  </si>
  <si>
    <t>C02</t>
  </si>
  <si>
    <t>5KKHAEDVXMPMF1916</t>
  </si>
  <si>
    <t>DETROIT DD13</t>
  </si>
  <si>
    <t>DD13</t>
  </si>
  <si>
    <t>RE-C02</t>
  </si>
  <si>
    <t>SI</t>
  </si>
  <si>
    <t>Salinas</t>
  </si>
  <si>
    <t>QUINTA BAJA COTTRELL</t>
  </si>
  <si>
    <t>C03</t>
  </si>
  <si>
    <t>5KKHAEDV1MPMF1917</t>
  </si>
  <si>
    <t>RE-C03</t>
  </si>
  <si>
    <t>Salamanca</t>
  </si>
  <si>
    <t>SEMI FULL DOLLY COTTRELL</t>
  </si>
  <si>
    <t>C04</t>
  </si>
  <si>
    <t>5KKHAEDV3MPMF1918</t>
  </si>
  <si>
    <t>RE-C04</t>
  </si>
  <si>
    <t>QUINTA BAJA 2.0 COTTRELL</t>
  </si>
  <si>
    <t>C36</t>
  </si>
  <si>
    <t>5KKHAEDV3NPNP5807</t>
  </si>
  <si>
    <t>RE-C36</t>
  </si>
  <si>
    <t>QUINTA BAJA WS COTTRELL</t>
  </si>
  <si>
    <t>C37</t>
  </si>
  <si>
    <t>5KKHAEDV7NPNP5812</t>
  </si>
  <si>
    <t>RE-C37</t>
  </si>
  <si>
    <t>QUINTA BAJA BOYDSTUN</t>
  </si>
  <si>
    <t>C38</t>
  </si>
  <si>
    <t>5KKHAEDV6NPNP5817</t>
  </si>
  <si>
    <t>RE-C38</t>
  </si>
  <si>
    <t>FULL COTTRELL</t>
  </si>
  <si>
    <t>C39</t>
  </si>
  <si>
    <t>5KKHAEDVXNPNP5822</t>
  </si>
  <si>
    <t>RE-C39</t>
  </si>
  <si>
    <t>C3 JAES</t>
  </si>
  <si>
    <t>C40</t>
  </si>
  <si>
    <t>5KKHAEDV5NPNP5825</t>
  </si>
  <si>
    <t>RE-C40</t>
  </si>
  <si>
    <t>FULL LOHR</t>
  </si>
  <si>
    <t>C41</t>
  </si>
  <si>
    <t>5KKHAEDV1NPNP5840</t>
  </si>
  <si>
    <t>RE-C41</t>
  </si>
  <si>
    <t>QUINTA ALTA BOYDSTUN</t>
  </si>
  <si>
    <t>C42</t>
  </si>
  <si>
    <t>5KKHAEDV5NPNP5842</t>
  </si>
  <si>
    <t>RE-C42</t>
  </si>
  <si>
    <t>Total general</t>
  </si>
  <si>
    <t>C43</t>
  </si>
  <si>
    <t>5KKHAEDV7NPNP5843</t>
  </si>
  <si>
    <t>RE-C45</t>
  </si>
  <si>
    <t>C44</t>
  </si>
  <si>
    <t>5KKHAEDV3NPNP5872</t>
  </si>
  <si>
    <t>RE-C44</t>
  </si>
  <si>
    <t xml:space="preserve">Cuenta de MOTOR </t>
  </si>
  <si>
    <t>C45</t>
  </si>
  <si>
    <t>5KKHAEDV1NPNP5904</t>
  </si>
  <si>
    <t>CUMMINS X15</t>
  </si>
  <si>
    <t>TLEA-018</t>
  </si>
  <si>
    <t>3WKAD49X4GF863901</t>
  </si>
  <si>
    <t>KENWORTH</t>
  </si>
  <si>
    <t>X15</t>
  </si>
  <si>
    <t>T660</t>
  </si>
  <si>
    <t>FULL</t>
  </si>
  <si>
    <t>RENOVACIÓN</t>
  </si>
  <si>
    <t>RE-018</t>
  </si>
  <si>
    <t>PACCAR MX-13</t>
  </si>
  <si>
    <t>TLEA-021</t>
  </si>
  <si>
    <t>3BKZL40X0RF538110</t>
  </si>
  <si>
    <t>T880</t>
  </si>
  <si>
    <t>QUINTA BAJA</t>
  </si>
  <si>
    <t>QB</t>
  </si>
  <si>
    <t>RE-021</t>
  </si>
  <si>
    <t>TLEA-025</t>
  </si>
  <si>
    <t>3BKZL40XXPF536264</t>
  </si>
  <si>
    <t>RE-025</t>
  </si>
  <si>
    <t>CUMMINS EPA 04</t>
  </si>
  <si>
    <t>TLEA-027</t>
  </si>
  <si>
    <t>3BKZL40X8PF536263</t>
  </si>
  <si>
    <t>RE-027</t>
  </si>
  <si>
    <t>TLEA-028</t>
  </si>
  <si>
    <t>3BKZL40X5PF536270</t>
  </si>
  <si>
    <t>RE-028</t>
  </si>
  <si>
    <t>TLEA-030</t>
  </si>
  <si>
    <t>3BKZL40X3PF536266</t>
  </si>
  <si>
    <t>RE-030</t>
  </si>
  <si>
    <t>TLEA-031</t>
  </si>
  <si>
    <t>3BKZL40X5PF536267</t>
  </si>
  <si>
    <t>RE-031</t>
  </si>
  <si>
    <t>Cuenta de MARCA TRACTO</t>
  </si>
  <si>
    <t>TLEA-037</t>
  </si>
  <si>
    <t>3BKZL40X9PF536269</t>
  </si>
  <si>
    <t>RE-037</t>
  </si>
  <si>
    <t>TLEA-038</t>
  </si>
  <si>
    <t>3BKZL40X7PF536268</t>
  </si>
  <si>
    <t>RE-038</t>
  </si>
  <si>
    <t>TLEA-041</t>
  </si>
  <si>
    <t>3BKZL40X9RF540180</t>
  </si>
  <si>
    <t>SEMI FULL DOLLY</t>
  </si>
  <si>
    <t>DOLLY</t>
  </si>
  <si>
    <t>RE-041</t>
  </si>
  <si>
    <t>INTERNATIONAL</t>
  </si>
  <si>
    <t>TLEA-042</t>
  </si>
  <si>
    <t>3BKZL40X0RF540181</t>
  </si>
  <si>
    <t>RE-042</t>
  </si>
  <si>
    <t>FREIGHLINER</t>
  </si>
  <si>
    <t>TLEA-043</t>
  </si>
  <si>
    <t>3BKALPX2GF866451</t>
  </si>
  <si>
    <t>RE-043</t>
  </si>
  <si>
    <t>TLEA-044</t>
  </si>
  <si>
    <t>3BKZL40X5RF538068</t>
  </si>
  <si>
    <t>RE-044</t>
  </si>
  <si>
    <t>TLEA-046</t>
  </si>
  <si>
    <t>3BKALP9X1GF866442</t>
  </si>
  <si>
    <t>MX-13</t>
  </si>
  <si>
    <t>VIEJA</t>
  </si>
  <si>
    <t>RE-046</t>
  </si>
  <si>
    <t>TLEA-047</t>
  </si>
  <si>
    <t>3BKALP9X8GF866454</t>
  </si>
  <si>
    <t>RE-047</t>
  </si>
  <si>
    <t>TLEA-048</t>
  </si>
  <si>
    <t>3BKALP9X5GF866444</t>
  </si>
  <si>
    <t>RE-048</t>
  </si>
  <si>
    <t>TLEA-049</t>
  </si>
  <si>
    <t>3BKALP9X2GF866448</t>
  </si>
  <si>
    <t>RE-049</t>
  </si>
  <si>
    <t>TLEA-050</t>
  </si>
  <si>
    <t>3BKZL40X7RF538069</t>
  </si>
  <si>
    <t>RE-050</t>
  </si>
  <si>
    <t>TLEA-054</t>
  </si>
  <si>
    <t>3BKALP9X7GF866459</t>
  </si>
  <si>
    <t>RE-054</t>
  </si>
  <si>
    <t>TLEA-055</t>
  </si>
  <si>
    <t>3BKALP9X5GF866461</t>
  </si>
  <si>
    <t>RE-055</t>
  </si>
  <si>
    <t>TLEA-057</t>
  </si>
  <si>
    <t>3BKZL40X9RF540177</t>
  </si>
  <si>
    <t>RE-057</t>
  </si>
  <si>
    <t>TLEA-058</t>
  </si>
  <si>
    <t>3BKALP9X1GF866456</t>
  </si>
  <si>
    <t>RE-058</t>
  </si>
  <si>
    <t>TLEA-060</t>
  </si>
  <si>
    <t>3BKALP9X7GF866445</t>
  </si>
  <si>
    <t>RE-060</t>
  </si>
  <si>
    <t>TLEA-061</t>
  </si>
  <si>
    <t>3BKALP9X0GF866450</t>
  </si>
  <si>
    <t>RE-061</t>
  </si>
  <si>
    <t>TLEA-062</t>
  </si>
  <si>
    <t>3BKALP9X4GF866452</t>
  </si>
  <si>
    <t>RE-062</t>
  </si>
  <si>
    <t>TLEA-063</t>
  </si>
  <si>
    <t>3BKALP9XXHF867634</t>
  </si>
  <si>
    <t>RE-063</t>
  </si>
  <si>
    <t>TLEA-064</t>
  </si>
  <si>
    <t>3BKALP9X1HF867635</t>
  </si>
  <si>
    <t>RE-064</t>
  </si>
  <si>
    <t>TLEA-065</t>
  </si>
  <si>
    <t>3BKALP9X2HF867636</t>
  </si>
  <si>
    <t>RE-065</t>
  </si>
  <si>
    <t>TLEA-066</t>
  </si>
  <si>
    <t>3BKZL40X0RF540178</t>
  </si>
  <si>
    <t>RE-066</t>
  </si>
  <si>
    <t>TLEA-067</t>
  </si>
  <si>
    <t>3BKALP9XXHF867638</t>
  </si>
  <si>
    <t>RE-067</t>
  </si>
  <si>
    <t>TLEA-071</t>
  </si>
  <si>
    <t>3WKAD49X5HF868283</t>
  </si>
  <si>
    <t>EPA 04</t>
  </si>
  <si>
    <t>LOHR</t>
  </si>
  <si>
    <t>LHOR</t>
  </si>
  <si>
    <t>RE-071</t>
  </si>
  <si>
    <t>TLEA-075</t>
  </si>
  <si>
    <t>3WKAD49X1HP868278</t>
  </si>
  <si>
    <t>RE-075</t>
  </si>
  <si>
    <t>TLEA-076</t>
  </si>
  <si>
    <t>3WKAD49X8HF868276</t>
  </si>
  <si>
    <t>RE-076</t>
  </si>
  <si>
    <t>TLEA-077</t>
  </si>
  <si>
    <t>3WKAD49XHF868280</t>
  </si>
  <si>
    <t>RE-077</t>
  </si>
  <si>
    <t>TLEA-078</t>
  </si>
  <si>
    <t>3WKAD49XXHF868277</t>
  </si>
  <si>
    <t>RE-078</t>
  </si>
  <si>
    <t>TLEA-080</t>
  </si>
  <si>
    <t>3WKAD49X3HF868282</t>
  </si>
  <si>
    <t>RE-080</t>
  </si>
  <si>
    <t>TLEA-081</t>
  </si>
  <si>
    <t>3BKZL40X7PF536271</t>
  </si>
  <si>
    <t>RE-081</t>
  </si>
  <si>
    <t>TLEA-082</t>
  </si>
  <si>
    <t>3BKZL40X1PF536265</t>
  </si>
  <si>
    <t>RE-082</t>
  </si>
  <si>
    <t>TLEA-083</t>
  </si>
  <si>
    <t>3WKZD40X3RF540085</t>
  </si>
  <si>
    <t>RE-083</t>
  </si>
  <si>
    <t>TLEA-085</t>
  </si>
  <si>
    <t>3BKZL40X2RF540151</t>
  </si>
  <si>
    <t>RE-085</t>
  </si>
  <si>
    <t>TLEA-086</t>
  </si>
  <si>
    <t>3BKZL40X4RF540152</t>
  </si>
  <si>
    <t>RE-086</t>
  </si>
  <si>
    <t>TLEA-087</t>
  </si>
  <si>
    <t>3BKZL40X3RF538098</t>
  </si>
  <si>
    <t>RE-087</t>
  </si>
  <si>
    <t>TLEA-090</t>
  </si>
  <si>
    <t>3WKZD40X5RF540086</t>
  </si>
  <si>
    <t>RE-090</t>
  </si>
  <si>
    <t>TLEA-093</t>
  </si>
  <si>
    <t>3BKZL40X9PF536272</t>
  </si>
  <si>
    <t>RE-093</t>
  </si>
  <si>
    <t>TLEA-106</t>
  </si>
  <si>
    <t>3BKALP9X0HF868846</t>
  </si>
  <si>
    <t>RE-106</t>
  </si>
  <si>
    <t>TLEA-108</t>
  </si>
  <si>
    <t>3BKZL40X3RF538067</t>
  </si>
  <si>
    <t>RE-108</t>
  </si>
  <si>
    <t>TLEA-112</t>
  </si>
  <si>
    <t>3BKALP9X4HF868851</t>
  </si>
  <si>
    <t>RE-112</t>
  </si>
  <si>
    <t>TLEA-115</t>
  </si>
  <si>
    <t>3BKZL40X0PF536273</t>
  </si>
  <si>
    <t>QUINTA BAJA 2.0</t>
  </si>
  <si>
    <t>RE-115</t>
  </si>
  <si>
    <t>TLEA-116</t>
  </si>
  <si>
    <t>3BKZL40X9RF536274</t>
  </si>
  <si>
    <t>RE-116</t>
  </si>
  <si>
    <t>TLEA-117</t>
  </si>
  <si>
    <t>3BKZL40X8RF538095</t>
  </si>
  <si>
    <t>RE-117</t>
  </si>
  <si>
    <t>TLEA-118</t>
  </si>
  <si>
    <t>3BKZL40X1RF538097</t>
  </si>
  <si>
    <t>RE-118</t>
  </si>
  <si>
    <t>TLEA-119</t>
  </si>
  <si>
    <t>3BKZL40X5RF538099</t>
  </si>
  <si>
    <t>RE-119</t>
  </si>
  <si>
    <t>TLEA-120</t>
  </si>
  <si>
    <t>3BKZL40X8RF538100</t>
  </si>
  <si>
    <t>RE-120</t>
  </si>
  <si>
    <t>TLEA-121</t>
  </si>
  <si>
    <t>3BKZL40XXRF538101</t>
  </si>
  <si>
    <t>RE-121</t>
  </si>
  <si>
    <t>TLEA-122</t>
  </si>
  <si>
    <t>3BKZL40X1RF538102</t>
  </si>
  <si>
    <t>RE-122</t>
  </si>
  <si>
    <t>TLEA-123</t>
  </si>
  <si>
    <t>3BKZL40X3RF538103</t>
  </si>
  <si>
    <t>RE-123</t>
  </si>
  <si>
    <t>TLEA-124</t>
  </si>
  <si>
    <t>3BKZL40X5RF538104</t>
  </si>
  <si>
    <t>RE-124</t>
  </si>
  <si>
    <t>TLEA-125</t>
  </si>
  <si>
    <t>3BKZL40X7RF538105</t>
  </si>
  <si>
    <t>RE-125</t>
  </si>
  <si>
    <t>TLEA-126</t>
  </si>
  <si>
    <t>3BKZL40X9RF538106</t>
  </si>
  <si>
    <t>RE-126</t>
  </si>
  <si>
    <t>TLEA-127</t>
  </si>
  <si>
    <t>3BKZL40X4RF538109</t>
  </si>
  <si>
    <t>RE-127</t>
  </si>
  <si>
    <t>TLEA-128</t>
  </si>
  <si>
    <t>3BKZL40X0RF538107</t>
  </si>
  <si>
    <t>RE-128</t>
  </si>
  <si>
    <t>TLEA-129</t>
  </si>
  <si>
    <t>3BKZL40X2RF538108</t>
  </si>
  <si>
    <t>RE-129</t>
  </si>
  <si>
    <t>TLEA-130</t>
  </si>
  <si>
    <t>3BKZL40X2RF538111</t>
  </si>
  <si>
    <t>RE-130</t>
  </si>
  <si>
    <t>TLEA-131</t>
  </si>
  <si>
    <t>3BKZL40XXRF538096</t>
  </si>
  <si>
    <t>RE-131</t>
  </si>
  <si>
    <t>TLEA-132</t>
  </si>
  <si>
    <t>3WKZD40X0RF540061</t>
  </si>
  <si>
    <t>JAES</t>
  </si>
  <si>
    <t>C3</t>
  </si>
  <si>
    <t>RE-132</t>
  </si>
  <si>
    <t>TLEA-133</t>
  </si>
  <si>
    <t>3WKZD40X2RF540062</t>
  </si>
  <si>
    <t>RE-133</t>
  </si>
  <si>
    <t>TLEA-134</t>
  </si>
  <si>
    <t>3WKZD40X4RF540063</t>
  </si>
  <si>
    <t>RE-134</t>
  </si>
  <si>
    <t>TLEA-135</t>
  </si>
  <si>
    <t>3WKZD40X6RF540064</t>
  </si>
  <si>
    <t>RE-135</t>
  </si>
  <si>
    <t>TLEA-136</t>
  </si>
  <si>
    <t>3WKZD40X8RF540065</t>
  </si>
  <si>
    <t>RE-136</t>
  </si>
  <si>
    <t>TLEA-137</t>
  </si>
  <si>
    <t>3WKZD40X2RF540059</t>
  </si>
  <si>
    <t>RE-137</t>
  </si>
  <si>
    <t>TLEA-138</t>
  </si>
  <si>
    <t>3WKZD40X9RF540060</t>
  </si>
  <si>
    <t>RE-138</t>
  </si>
  <si>
    <t>TLEA-139</t>
  </si>
  <si>
    <t>3HSDZAPT8RN423966</t>
  </si>
  <si>
    <t>LT625</t>
  </si>
  <si>
    <t>RE-139</t>
  </si>
  <si>
    <t>TLEA-140</t>
  </si>
  <si>
    <t>3HSDZAPT2RN686468</t>
  </si>
  <si>
    <t>RE-140</t>
  </si>
  <si>
    <t>TLEA-141</t>
  </si>
  <si>
    <t>3HSDZAPT4RN181578</t>
  </si>
  <si>
    <t>RE-141</t>
  </si>
  <si>
    <t>TLEA-142</t>
  </si>
  <si>
    <t>3HSDZAPT6RN181579</t>
  </si>
  <si>
    <t>RE-142</t>
  </si>
  <si>
    <t>TLEA-143</t>
  </si>
  <si>
    <t>3HSDZAPT2RN181580</t>
  </si>
  <si>
    <t>RE-143</t>
  </si>
  <si>
    <t>TLEA-144</t>
  </si>
  <si>
    <t>3HSDZAPT4RN686391</t>
  </si>
  <si>
    <t>RE-144</t>
  </si>
  <si>
    <t>TLEA-145</t>
  </si>
  <si>
    <t>3HSDZAPT9RN182595</t>
  </si>
  <si>
    <t>RE-145</t>
  </si>
  <si>
    <t>TLEA-146</t>
  </si>
  <si>
    <t>3BKZL40X0RF540150</t>
  </si>
  <si>
    <t>RE-146</t>
  </si>
  <si>
    <t>TLEA-147</t>
  </si>
  <si>
    <t>3BKZL40X3RF540160</t>
  </si>
  <si>
    <t>RE-147</t>
  </si>
  <si>
    <t>TLEA-148</t>
  </si>
  <si>
    <t>3BKZL40X5RF540161</t>
  </si>
  <si>
    <t>RE-148</t>
  </si>
  <si>
    <t>TLEA-149</t>
  </si>
  <si>
    <t>3BKZL40X7RF540162</t>
  </si>
  <si>
    <t>RE-149</t>
  </si>
  <si>
    <t>TLEA-150</t>
  </si>
  <si>
    <t>3BKZL40X9RF540163</t>
  </si>
  <si>
    <t>RE-150</t>
  </si>
  <si>
    <t>TLEA-151</t>
  </si>
  <si>
    <t>3BKZL40X6RF540153</t>
  </si>
  <si>
    <t>RE-151</t>
  </si>
  <si>
    <t>TLEA-152</t>
  </si>
  <si>
    <t>3BKZL40X8RF540154</t>
  </si>
  <si>
    <t>RE-152</t>
  </si>
  <si>
    <t>TLEA-153</t>
  </si>
  <si>
    <t>3BKZL40X0RF540164</t>
  </si>
  <si>
    <t>RE-153</t>
  </si>
  <si>
    <t>TLEA-154</t>
  </si>
  <si>
    <t>3BKZL40X2RF540165</t>
  </si>
  <si>
    <t>RE-154</t>
  </si>
  <si>
    <t>TLEA-155</t>
  </si>
  <si>
    <t>3WKZD40X1RF540103</t>
  </si>
  <si>
    <t>RE-155</t>
  </si>
  <si>
    <t>TLEA-156</t>
  </si>
  <si>
    <t>3WKZD40X3RF540104</t>
  </si>
  <si>
    <t>RE-156</t>
  </si>
  <si>
    <t>TLEA-157</t>
  </si>
  <si>
    <t>3WKZD40X4RF540094</t>
  </si>
  <si>
    <t>RE-157</t>
  </si>
  <si>
    <t>TLEA-158</t>
  </si>
  <si>
    <t>3WKZD40X6RF540095</t>
  </si>
  <si>
    <t>RE-158</t>
  </si>
  <si>
    <t>TLEA-159</t>
  </si>
  <si>
    <t>3BKZL40X4RF540166</t>
  </si>
  <si>
    <t>RE-159</t>
  </si>
  <si>
    <t>TLEA-160</t>
  </si>
  <si>
    <t>3BKZL40X6RF540167</t>
  </si>
  <si>
    <t>RE-160</t>
  </si>
  <si>
    <t>2708/2024</t>
  </si>
  <si>
    <t>TLEA-161</t>
  </si>
  <si>
    <t>3HSDZAPTXRN143448</t>
  </si>
  <si>
    <t>RE-161</t>
  </si>
  <si>
    <t>TLEA-162</t>
  </si>
  <si>
    <t>3HSDZAPT1RN143449</t>
  </si>
  <si>
    <t>RE-162</t>
  </si>
  <si>
    <t>TLEA-163</t>
  </si>
  <si>
    <t>3HSDZAPT8RN143450</t>
  </si>
  <si>
    <t>RE-163</t>
  </si>
  <si>
    <t>TLEA-164</t>
  </si>
  <si>
    <t>3BKZL40X8RF540168</t>
  </si>
  <si>
    <t>RE-164</t>
  </si>
  <si>
    <t>TLEA-165</t>
  </si>
  <si>
    <t>3BKZL40XXRF540169</t>
  </si>
  <si>
    <t>RE-165</t>
  </si>
  <si>
    <t>TLEA-166</t>
  </si>
  <si>
    <t>3BKZL40X6RF540170</t>
  </si>
  <si>
    <t>RE-166</t>
  </si>
  <si>
    <t>TLEA-167</t>
  </si>
  <si>
    <t>3BKZL40XXRF540155</t>
  </si>
  <si>
    <t>RE-167</t>
  </si>
  <si>
    <t>TLEA-168</t>
  </si>
  <si>
    <t>3BKZL40X1RF540156</t>
  </si>
  <si>
    <t>RE-168</t>
  </si>
  <si>
    <t>TLEA-169</t>
  </si>
  <si>
    <t>3BKZL40X3RF540157</t>
  </si>
  <si>
    <t>RE-169</t>
  </si>
  <si>
    <t>TLEA-170</t>
  </si>
  <si>
    <t>3BKZL40X5RF540158</t>
  </si>
  <si>
    <t>RE-170</t>
  </si>
  <si>
    <t>TLEA-171</t>
  </si>
  <si>
    <t>3BKZL40X7RF540159</t>
  </si>
  <si>
    <t>RE-171</t>
  </si>
  <si>
    <t>TLEA-172</t>
  </si>
  <si>
    <t>3BKZL40X8RF540171</t>
  </si>
  <si>
    <t>RE-172</t>
  </si>
  <si>
    <t>TLEA-173</t>
  </si>
  <si>
    <t>3BKZL40X5RF544193</t>
  </si>
  <si>
    <t>RE-173</t>
  </si>
  <si>
    <t>TLEA-174</t>
  </si>
  <si>
    <t>3BKZL40X7RF544194</t>
  </si>
  <si>
    <t>RE-174</t>
  </si>
  <si>
    <t>TLEA-175</t>
  </si>
  <si>
    <t>3BKZL40X9RF544195</t>
  </si>
  <si>
    <t>RE-175</t>
  </si>
  <si>
    <t>TLEA-176</t>
  </si>
  <si>
    <t>3BKZL40X0RF544196</t>
  </si>
  <si>
    <t>RE-176</t>
  </si>
  <si>
    <t>TLEA-177</t>
  </si>
  <si>
    <t>3BKZL40X2RF544197</t>
  </si>
  <si>
    <t>RE-177</t>
  </si>
  <si>
    <t>TLEA-178</t>
  </si>
  <si>
    <t>3BKZL40X4RF544198</t>
  </si>
  <si>
    <t>RE-178</t>
  </si>
  <si>
    <t>TLEA-179</t>
  </si>
  <si>
    <t>3BKZL40X6RF544199</t>
  </si>
  <si>
    <t>RE-179</t>
  </si>
  <si>
    <t>TLEA-180</t>
  </si>
  <si>
    <t>3BKZL40X9RF544200</t>
  </si>
  <si>
    <t>RE-180</t>
  </si>
  <si>
    <t>TLEA-181</t>
  </si>
  <si>
    <t>3BKZL40X0RF544201</t>
  </si>
  <si>
    <t>RE-181</t>
  </si>
  <si>
    <t>TLEA-182</t>
  </si>
  <si>
    <t>3BKZL40X2RF544202</t>
  </si>
  <si>
    <t>RE-182</t>
  </si>
  <si>
    <t>TLEA-183</t>
  </si>
  <si>
    <t>3BKZL40X4RF544203</t>
  </si>
  <si>
    <t>RE-183</t>
  </si>
  <si>
    <t>TLEA-184</t>
  </si>
  <si>
    <t>3BKZL40X6RF544204</t>
  </si>
  <si>
    <t>RE-184</t>
  </si>
  <si>
    <t>TLEA-185</t>
  </si>
  <si>
    <t>3BKZL40X8RF544205</t>
  </si>
  <si>
    <t>RE-185</t>
  </si>
  <si>
    <t>TLEA-186</t>
  </si>
  <si>
    <t>3BKZL40XXRF544206</t>
  </si>
  <si>
    <t>RE-186</t>
  </si>
  <si>
    <t>TLEA-187</t>
  </si>
  <si>
    <t>3BKZL40X1RF544207</t>
  </si>
  <si>
    <t>RE-187</t>
  </si>
  <si>
    <t>TLEA-188</t>
  </si>
  <si>
    <t>3BKZL40X3RF544208</t>
  </si>
  <si>
    <t>RE-188</t>
  </si>
  <si>
    <t>TLEA-189</t>
  </si>
  <si>
    <t>3BKZL40X5RF544209</t>
  </si>
  <si>
    <t>RE-189</t>
  </si>
  <si>
    <t>TLEA-190</t>
  </si>
  <si>
    <t>3BKZL40X1RF544210</t>
  </si>
  <si>
    <t>RE-190</t>
  </si>
  <si>
    <t>TLEA-191</t>
  </si>
  <si>
    <t>3BKZL40X3RF544211</t>
  </si>
  <si>
    <t>RE-191</t>
  </si>
  <si>
    <t>TLEA-192</t>
  </si>
  <si>
    <t>3BKZL40X5RF544212</t>
  </si>
  <si>
    <t>RE-101</t>
  </si>
  <si>
    <t>TLEA-193</t>
  </si>
  <si>
    <t>3BKZL40X7RF544213</t>
  </si>
  <si>
    <t>RE-193</t>
  </si>
  <si>
    <t>TLEA-194</t>
  </si>
  <si>
    <t>3BKZL40X9RF544214</t>
  </si>
  <si>
    <t>RE-024</t>
  </si>
  <si>
    <t>TLEA-195</t>
  </si>
  <si>
    <t>3BKZL40X0RF544215</t>
  </si>
  <si>
    <t>RE-097</t>
  </si>
  <si>
    <t>TLEA-196</t>
  </si>
  <si>
    <t>3BKZL40X2RF544216</t>
  </si>
  <si>
    <t>RE-084</t>
  </si>
  <si>
    <t>TLEA-197</t>
  </si>
  <si>
    <t>3BKZL40X4RF544217</t>
  </si>
  <si>
    <t>RE-035</t>
  </si>
  <si>
    <t>TLEA-198</t>
  </si>
  <si>
    <t>3BKZL40X6RF544218</t>
  </si>
  <si>
    <t>RE-096</t>
  </si>
  <si>
    <t>TLEA-199</t>
  </si>
  <si>
    <t>3BKZL40X8RF544219</t>
  </si>
  <si>
    <t>RE-199</t>
  </si>
  <si>
    <t>TLEA-200</t>
  </si>
  <si>
    <t>5KKHAEDV8NPNP5933</t>
  </si>
  <si>
    <t>BOYDSTUN</t>
  </si>
  <si>
    <t>WS-BOY</t>
  </si>
  <si>
    <t>RE-200</t>
  </si>
  <si>
    <t>TLEA-201</t>
  </si>
  <si>
    <t>5KKHAEDV9NPNP5973</t>
  </si>
  <si>
    <t>RE-201</t>
  </si>
  <si>
    <t>TLEA-202</t>
  </si>
  <si>
    <t>5KKHAEDV6NPNP5929</t>
  </si>
  <si>
    <t>RE-202</t>
  </si>
  <si>
    <t>TLEA-203</t>
  </si>
  <si>
    <t>5KKHAEDV3NPNP5970</t>
  </si>
  <si>
    <t>RE-203</t>
  </si>
  <si>
    <t>TLEA-204</t>
  </si>
  <si>
    <t>5KKHAEDV4NPNP5976</t>
  </si>
  <si>
    <t>RE-204</t>
  </si>
  <si>
    <t>TLEA-205</t>
  </si>
  <si>
    <t>5KKHAEDV5NPNP5937</t>
  </si>
  <si>
    <t>RE-205</t>
  </si>
  <si>
    <t>TLEA-206</t>
  </si>
  <si>
    <t>5KKHAEDV3NPNP5967</t>
  </si>
  <si>
    <t>RE-206</t>
  </si>
  <si>
    <t>TLEA-207</t>
  </si>
  <si>
    <t>5KKHAEDV2NPNP5975</t>
  </si>
  <si>
    <t>RE-207</t>
  </si>
  <si>
    <t>TLEA-208</t>
  </si>
  <si>
    <t>5KKHAEDV7NPNP5972</t>
  </si>
  <si>
    <t>RE-208</t>
  </si>
  <si>
    <t>TLEA-209</t>
  </si>
  <si>
    <t>5KKHAEDV7NPNP5938</t>
  </si>
  <si>
    <t>RE-209</t>
  </si>
  <si>
    <t>TLEA-210</t>
  </si>
  <si>
    <t>5KKHAEDV3NPNP5936</t>
  </si>
  <si>
    <t>RE-210</t>
  </si>
  <si>
    <t>TLEA-211</t>
  </si>
  <si>
    <t>5KKHAEDV2PPNP6191</t>
  </si>
  <si>
    <t>RE-211</t>
  </si>
  <si>
    <t>TLEA-212</t>
  </si>
  <si>
    <t>5KKHAEDV0PPNP6044</t>
  </si>
  <si>
    <t>RE-212</t>
  </si>
  <si>
    <t>TLEA-213</t>
  </si>
  <si>
    <t>5KKHAEDV9PPNP6043</t>
  </si>
  <si>
    <t>RE-213</t>
  </si>
  <si>
    <t>TLEA-214</t>
  </si>
  <si>
    <t>5KKHAEDV1NPNP5935</t>
  </si>
  <si>
    <t>RE-214</t>
  </si>
  <si>
    <t>TLEA-215</t>
  </si>
  <si>
    <t>5KKHAEDV9NPNP5813</t>
  </si>
  <si>
    <t>RE-215</t>
  </si>
  <si>
    <t>TLEA-216</t>
  </si>
  <si>
    <t>5KKHAEDV4NPNP5816</t>
  </si>
  <si>
    <t>RE-216</t>
  </si>
  <si>
    <t>TLEA-217</t>
  </si>
  <si>
    <t>5KKHAEDVXNPNP5836</t>
  </si>
  <si>
    <t>RE-217</t>
  </si>
  <si>
    <t>TLEA-218</t>
  </si>
  <si>
    <t>5KKHAEDV0NPNP5845</t>
  </si>
  <si>
    <t>RE-218</t>
  </si>
  <si>
    <t>TLEA-219</t>
  </si>
  <si>
    <t>5KKHAEDVXNPNP5853</t>
  </si>
  <si>
    <t>RE-219</t>
  </si>
  <si>
    <t>TLEA-220</t>
  </si>
  <si>
    <t>5KKHAEDV0NPNP5862</t>
  </si>
  <si>
    <t>RE-220</t>
  </si>
  <si>
    <t>TLEA-221</t>
  </si>
  <si>
    <t>5KKHAEDV7NPNP5891</t>
  </si>
  <si>
    <t>RE-221</t>
  </si>
  <si>
    <t>TLEA-222</t>
  </si>
  <si>
    <t>5KKHAEDV8NPNP5964</t>
  </si>
  <si>
    <t>RE-222</t>
  </si>
  <si>
    <t>TLEA-223</t>
  </si>
  <si>
    <t>5KKHAEDV4NPNP5931</t>
  </si>
  <si>
    <t>RE-223</t>
  </si>
  <si>
    <t>TLEA-224</t>
  </si>
  <si>
    <t>5KKHAEDV6NPNP5932</t>
  </si>
  <si>
    <t>RE-224</t>
  </si>
  <si>
    <t>TLEA-225</t>
  </si>
  <si>
    <t>5KKHAEDVXNPNP5934</t>
  </si>
  <si>
    <t>RE-225</t>
  </si>
  <si>
    <t>TLEA-226</t>
  </si>
  <si>
    <t>5KKHAEDV5NPNP5968</t>
  </si>
  <si>
    <t>RE-226</t>
  </si>
  <si>
    <t>TLEA-227</t>
  </si>
  <si>
    <t>5KKHAEDV7NPNP5969</t>
  </si>
  <si>
    <t>RE-227</t>
  </si>
  <si>
    <t>TLEA-228</t>
  </si>
  <si>
    <t>5KKHAEDV5NPNP5971</t>
  </si>
  <si>
    <t>RE-228</t>
  </si>
  <si>
    <t>TLEA-229</t>
  </si>
  <si>
    <t>5KKHAEDV0NPNP5974</t>
  </si>
  <si>
    <t>RE-229</t>
  </si>
  <si>
    <t>TLEA-230</t>
  </si>
  <si>
    <t>5KKHAEDV0NPNP6011</t>
  </si>
  <si>
    <t>RE-230</t>
  </si>
  <si>
    <t>TLEA-231</t>
  </si>
  <si>
    <t>5KKHAEDV6NPNP6031</t>
  </si>
  <si>
    <t>RE-231</t>
  </si>
  <si>
    <t>TLEA-232</t>
  </si>
  <si>
    <t>5KKHAEDVXPPNP6066</t>
  </si>
  <si>
    <t>RE-232</t>
  </si>
  <si>
    <t>TLEA-233</t>
  </si>
  <si>
    <t>5KKHAEDV8PPNP6082</t>
  </si>
  <si>
    <t>RE-233</t>
  </si>
  <si>
    <t>TLEA-234</t>
  </si>
  <si>
    <t>5KKHAEDVXNPNP6016</t>
  </si>
  <si>
    <t>RE-234</t>
  </si>
  <si>
    <t>TLEA-235</t>
  </si>
  <si>
    <t>5KKHAEDV7NPNP5857</t>
  </si>
  <si>
    <t>RE-235</t>
  </si>
  <si>
    <t>TLEA-236</t>
  </si>
  <si>
    <t>5KKHAEDV2NPNP5877</t>
  </si>
  <si>
    <t>RE-236</t>
  </si>
  <si>
    <t>TLEA-237</t>
  </si>
  <si>
    <t>5KKHAEDV4NPNP5881</t>
  </si>
  <si>
    <t>RE-237</t>
  </si>
  <si>
    <t>TLEA-238</t>
  </si>
  <si>
    <t>5KKHAEDV9NPNP5956</t>
  </si>
  <si>
    <t>RE-238</t>
  </si>
  <si>
    <t>TLEA-239</t>
  </si>
  <si>
    <t>5KKHAEDV2NPNP5930</t>
  </si>
  <si>
    <t>RE-239</t>
  </si>
  <si>
    <t>TLEA-240</t>
  </si>
  <si>
    <t>3BKZL40X9RF546951</t>
  </si>
  <si>
    <t>RE-240</t>
  </si>
  <si>
    <t>TLEA-241</t>
  </si>
  <si>
    <t>3BKZL40X0RF546952</t>
  </si>
  <si>
    <t>RE-241</t>
  </si>
  <si>
    <t>TLEA-242</t>
  </si>
  <si>
    <t>3BKZL40X2RF546953</t>
  </si>
  <si>
    <t>RE-105</t>
  </si>
  <si>
    <t>TLEA-243</t>
  </si>
  <si>
    <t>3BKZL40X4RF546954</t>
  </si>
  <si>
    <t>RE-243</t>
  </si>
  <si>
    <t>TLEA-244</t>
  </si>
  <si>
    <t>3BKZL40X6RF546955</t>
  </si>
  <si>
    <t>RE-102</t>
  </si>
  <si>
    <t>TLEA-245</t>
  </si>
  <si>
    <t>3BKZL40X1RF547026</t>
  </si>
  <si>
    <t>RE-245</t>
  </si>
  <si>
    <t>TLEA-246</t>
  </si>
  <si>
    <t>3BKZL40X3RF547027</t>
  </si>
  <si>
    <t>RE-246</t>
  </si>
  <si>
    <t>TLEA-247</t>
  </si>
  <si>
    <t>3BKZL40X5RF547028</t>
  </si>
  <si>
    <t>RE-247</t>
  </si>
  <si>
    <t>TLEA-248</t>
  </si>
  <si>
    <t>3BKZL40X7RF547029</t>
  </si>
  <si>
    <t>RE-248</t>
  </si>
  <si>
    <t>TLEA-249</t>
  </si>
  <si>
    <t>3BKZL40X3RF547030</t>
  </si>
  <si>
    <t>RE-249</t>
  </si>
  <si>
    <t>TLEA-250</t>
  </si>
  <si>
    <t>3BKZL40X5RF547031</t>
  </si>
  <si>
    <t>RE-023</t>
  </si>
  <si>
    <t>TLEA-251</t>
  </si>
  <si>
    <t>3BKZL40X7RF547032</t>
  </si>
  <si>
    <t>RE-251</t>
  </si>
  <si>
    <t>TLEA-252</t>
  </si>
  <si>
    <t>3BKZL40X9RF547033</t>
  </si>
  <si>
    <t>RE-089</t>
  </si>
  <si>
    <t>TLEA-253</t>
  </si>
  <si>
    <t>3BKZL40X0RF547034</t>
  </si>
  <si>
    <t>RE-253</t>
  </si>
  <si>
    <t>TLEA-254</t>
  </si>
  <si>
    <t>3BKZL40X2RF540196</t>
  </si>
  <si>
    <t>RE-254</t>
  </si>
  <si>
    <t>TLEA-255</t>
  </si>
  <si>
    <t>3BKZL40X4RF540197</t>
  </si>
  <si>
    <t>RE-255</t>
  </si>
  <si>
    <t>TLEA-256</t>
  </si>
  <si>
    <t>3BKZL40X6RF540198</t>
  </si>
  <si>
    <t>RE-256</t>
  </si>
  <si>
    <t>TLEA-257</t>
  </si>
  <si>
    <t>3BKZL40X8RF540199</t>
  </si>
  <si>
    <t>RE-257</t>
  </si>
  <si>
    <t>TLEA-258</t>
  </si>
  <si>
    <t>3BKZL40X0RF540200</t>
  </si>
  <si>
    <t>RE-258</t>
  </si>
  <si>
    <t>TLEA-259</t>
  </si>
  <si>
    <t>3BKZL40X2RF540201</t>
  </si>
  <si>
    <t>RE-051</t>
  </si>
  <si>
    <t>TLEA-260</t>
  </si>
  <si>
    <t>3BKZL40X4RF540202</t>
  </si>
  <si>
    <t>RE-260</t>
  </si>
  <si>
    <t>TLEA-261</t>
  </si>
  <si>
    <t>3BKZL40XXRF540172</t>
  </si>
  <si>
    <t>RE-261</t>
  </si>
  <si>
    <t>TLEA-262</t>
  </si>
  <si>
    <t>3BKZL40X1RF540173</t>
  </si>
  <si>
    <t>RE-262</t>
  </si>
  <si>
    <t>TLEA-263</t>
  </si>
  <si>
    <t>3BKZL40X3RF540174</t>
  </si>
  <si>
    <t>RE-263</t>
  </si>
  <si>
    <t>TLEA-264</t>
  </si>
  <si>
    <t>3BKZL40X5RF540175</t>
  </si>
  <si>
    <t>RE-264</t>
  </si>
  <si>
    <t>TLEA-265</t>
  </si>
  <si>
    <t>3BKZL40X7RF540176</t>
  </si>
  <si>
    <t>RE-022</t>
  </si>
  <si>
    <t>TLEA-266</t>
  </si>
  <si>
    <t>3BKZL40X2RF540182</t>
  </si>
  <si>
    <t>RE-266</t>
  </si>
  <si>
    <t>TLEA-267</t>
  </si>
  <si>
    <t>3BKZL40X4RF540183</t>
  </si>
  <si>
    <t>RE-098</t>
  </si>
  <si>
    <t>TLEA-268</t>
  </si>
  <si>
    <t>3BKZL40X6RF540184</t>
  </si>
  <si>
    <t>RE-268</t>
  </si>
  <si>
    <t>TLEA-269</t>
  </si>
  <si>
    <t>3BKZL40X8RF540185</t>
  </si>
  <si>
    <t>RE-039</t>
  </si>
  <si>
    <t>TLEA-270</t>
  </si>
  <si>
    <t>3BKZL40XXRF540186</t>
  </si>
  <si>
    <t>RE-270</t>
  </si>
  <si>
    <t>TLEA-271</t>
  </si>
  <si>
    <t>3BKZL40X1RF540187</t>
  </si>
  <si>
    <t>RE-103</t>
  </si>
  <si>
    <t>TLEA-272</t>
  </si>
  <si>
    <t>3BKZL40X3RF540188</t>
  </si>
  <si>
    <t>RE-099</t>
  </si>
  <si>
    <t>TLEA-273</t>
  </si>
  <si>
    <t>3BKZL40X5RF540189</t>
  </si>
  <si>
    <t>RE-020</t>
  </si>
  <si>
    <t>TLEA-274</t>
  </si>
  <si>
    <t>3BKZL40X1RF540190</t>
  </si>
  <si>
    <t>RE-092</t>
  </si>
  <si>
    <t>TLEA-275</t>
  </si>
  <si>
    <t>3BKZL40X3RF540191</t>
  </si>
  <si>
    <t>RE-026</t>
  </si>
  <si>
    <t>TLEA-276</t>
  </si>
  <si>
    <t>3BKZL40X5RF540192</t>
  </si>
  <si>
    <t>RE-088</t>
  </si>
  <si>
    <t>TLEA-277</t>
  </si>
  <si>
    <t>3BKZL40X7RF540193</t>
  </si>
  <si>
    <t>RE-091</t>
  </si>
  <si>
    <t>TLEA-278</t>
  </si>
  <si>
    <t>3BKZL40X5SF549433</t>
  </si>
  <si>
    <t>RE-010</t>
  </si>
  <si>
    <t>TLEA-279</t>
  </si>
  <si>
    <t>3BKZL40X7SF549434</t>
  </si>
  <si>
    <t>RE-033</t>
  </si>
  <si>
    <t>TLEA-280</t>
  </si>
  <si>
    <t>3BKZL40X9SF549435</t>
  </si>
  <si>
    <t>RE-013</t>
  </si>
  <si>
    <t>TLEA-281</t>
  </si>
  <si>
    <t>3BKZL40X0SF549436</t>
  </si>
  <si>
    <t>RE-029</t>
  </si>
  <si>
    <t>TLEA-283</t>
  </si>
  <si>
    <t>3BKZL40X4SF549438</t>
  </si>
  <si>
    <t>RE-032</t>
  </si>
  <si>
    <t>TLEA-284</t>
  </si>
  <si>
    <t>3BKZL40X6SF549439</t>
  </si>
  <si>
    <t>RE-059</t>
  </si>
  <si>
    <t>TLEA-285</t>
  </si>
  <si>
    <t>3BKZL40X2SF549440</t>
  </si>
  <si>
    <t>RE-036</t>
  </si>
  <si>
    <t>TLEA-287</t>
  </si>
  <si>
    <t>3BKZL40X0RF549446</t>
  </si>
  <si>
    <t>RE-019</t>
  </si>
  <si>
    <t>TLEA-288</t>
  </si>
  <si>
    <t>3BKZL40X5SF549447</t>
  </si>
  <si>
    <t>RE-094</t>
  </si>
  <si>
    <t>TLEA-289</t>
  </si>
  <si>
    <t>3BKZL40X7SF549448</t>
  </si>
  <si>
    <t>RE-006</t>
  </si>
  <si>
    <t>TLEA-290</t>
  </si>
  <si>
    <t>3BKZL40X9SF549449</t>
  </si>
  <si>
    <t>RE-001</t>
  </si>
  <si>
    <t>TLEA-291</t>
  </si>
  <si>
    <t>3BKZL40X5SF549450</t>
  </si>
  <si>
    <t>RE-095</t>
  </si>
  <si>
    <t>TLEA-292</t>
  </si>
  <si>
    <t>3BKZL40X7SF549451</t>
  </si>
  <si>
    <t>RE-016</t>
  </si>
  <si>
    <t>TLEA-293</t>
  </si>
  <si>
    <t>3BKZL40X9SF549452</t>
  </si>
  <si>
    <t>RE-100</t>
  </si>
  <si>
    <t>TLEA-294</t>
  </si>
  <si>
    <t>3WKZD40X5RF540105</t>
  </si>
  <si>
    <t>RE-004</t>
  </si>
  <si>
    <t>TLEA-295</t>
  </si>
  <si>
    <t>3WKZD40X7RF540106</t>
  </si>
  <si>
    <t>RE-008</t>
  </si>
  <si>
    <t>TLEA-297</t>
  </si>
  <si>
    <t>3WKZD40X0RF540108</t>
  </si>
  <si>
    <t>RE-012</t>
  </si>
  <si>
    <t>TLEA-298</t>
  </si>
  <si>
    <t>3WKZD40X2RF540109</t>
  </si>
  <si>
    <t>RE-074</t>
  </si>
  <si>
    <t>TLEA-299</t>
  </si>
  <si>
    <t>3WKZD40X9RF540110</t>
  </si>
  <si>
    <t>RE-005</t>
  </si>
  <si>
    <t>TLEA-301</t>
  </si>
  <si>
    <t>3WKZD40X2RF540112</t>
  </si>
  <si>
    <t>RE-002</t>
  </si>
  <si>
    <t>TLEA-303</t>
  </si>
  <si>
    <t>3WKZD40X6RF540114</t>
  </si>
  <si>
    <t>RE-015</t>
  </si>
  <si>
    <t>TLEA-305</t>
  </si>
  <si>
    <t>3WKZD40XXRF540116</t>
  </si>
  <si>
    <t>RE-009</t>
  </si>
  <si>
    <t>TLEA-306</t>
  </si>
  <si>
    <t>3WKZD40X1RF540117</t>
  </si>
  <si>
    <t>RE-003</t>
  </si>
  <si>
    <t>TLEA-307</t>
  </si>
  <si>
    <t>3WKZD40X3RF540118</t>
  </si>
  <si>
    <t>RE-017</t>
  </si>
  <si>
    <t>TLEA-308</t>
  </si>
  <si>
    <t>3WKZD40X9RF540107</t>
  </si>
  <si>
    <t>RE-014</t>
  </si>
  <si>
    <t>TLEA-309</t>
  </si>
  <si>
    <t>RE-073</t>
  </si>
  <si>
    <t>TLEA-310</t>
  </si>
  <si>
    <t>3WKZD40X5RF540203</t>
  </si>
  <si>
    <t>RE-007</t>
  </si>
  <si>
    <t>TLEA-311</t>
  </si>
  <si>
    <t>3WKZD40X5RF540122</t>
  </si>
  <si>
    <t>RE-011</t>
  </si>
  <si>
    <t>TLEA-312</t>
  </si>
  <si>
    <t>RE-052</t>
  </si>
  <si>
    <t>TLEA-313</t>
  </si>
  <si>
    <t>5KKHAEDV6PPNP6078</t>
  </si>
  <si>
    <t>RE-313</t>
  </si>
  <si>
    <t>TLEA-314</t>
  </si>
  <si>
    <t>5KKHAEDV9PPNP6091</t>
  </si>
  <si>
    <t>RE-314</t>
  </si>
  <si>
    <t>TLEA-315</t>
  </si>
  <si>
    <t>5KKHAEDV8PPNP6101</t>
  </si>
  <si>
    <t>RE-315</t>
  </si>
  <si>
    <t>TLEA-316</t>
  </si>
  <si>
    <t>5KKHAEDV2PPNP6076</t>
  </si>
  <si>
    <t>RE-316</t>
  </si>
  <si>
    <t>TLEA-317</t>
  </si>
  <si>
    <t>5KKHAEDV7PPNP6106</t>
  </si>
  <si>
    <t>RE-317</t>
  </si>
  <si>
    <t>TLEA-318</t>
  </si>
  <si>
    <t>5KKHAEDV7PPNP6090</t>
  </si>
  <si>
    <t>RE-318</t>
  </si>
  <si>
    <t>TLEA-319</t>
  </si>
  <si>
    <t>5KKHAEDV8PPNP6065</t>
  </si>
  <si>
    <t>RE-319</t>
  </si>
  <si>
    <t>TLEA-320</t>
  </si>
  <si>
    <t>5KKHAEDV9PPNP6074</t>
  </si>
  <si>
    <t>RE-320</t>
  </si>
  <si>
    <t>TLEA-321</t>
  </si>
  <si>
    <t>5KKHAEDV5PPNP6072</t>
  </si>
  <si>
    <t>RE-321</t>
  </si>
  <si>
    <t>TLEA-322</t>
  </si>
  <si>
    <t>5KKHAEDV7PPNP6073</t>
  </si>
  <si>
    <t>RE-322</t>
  </si>
  <si>
    <t>TLEA-323</t>
  </si>
  <si>
    <t>3BKZL40X4SF551982</t>
  </si>
  <si>
    <t>RE-104</t>
  </si>
  <si>
    <t>TLEA-324</t>
  </si>
  <si>
    <t>3BKZL40X6SF551983</t>
  </si>
  <si>
    <t>RE-034</t>
  </si>
  <si>
    <t>TLEA-329</t>
  </si>
  <si>
    <t>RE-072</t>
  </si>
  <si>
    <t>TLEA-333</t>
  </si>
  <si>
    <t>3BKZL40X6SF552017</t>
  </si>
  <si>
    <t>RE-068</t>
  </si>
  <si>
    <t>TLEA-334</t>
  </si>
  <si>
    <t>RE-111</t>
  </si>
  <si>
    <t>TLEA-335</t>
  </si>
  <si>
    <t>3BKZL40X3SF552024</t>
  </si>
  <si>
    <t>RE-056</t>
  </si>
  <si>
    <t>TLEA-336</t>
  </si>
  <si>
    <t>3BKZL40X9SF552206</t>
  </si>
  <si>
    <t>RE-079</t>
  </si>
  <si>
    <t>TLEA-337</t>
  </si>
  <si>
    <t>3BKZL40X0SF552207</t>
  </si>
  <si>
    <t>RE-109</t>
  </si>
  <si>
    <t>TLEA-340</t>
  </si>
  <si>
    <t>3BKZL40X0SF552210</t>
  </si>
  <si>
    <t>RE-114</t>
  </si>
  <si>
    <t>TLEA-342</t>
  </si>
  <si>
    <t>3BKZL40X4SF552212</t>
  </si>
  <si>
    <t>RE-070</t>
  </si>
  <si>
    <t>TLEA-344</t>
  </si>
  <si>
    <t>3BKZL40X8SF552214</t>
  </si>
  <si>
    <t>RE-113</t>
  </si>
  <si>
    <t>TLEA-345</t>
  </si>
  <si>
    <t>RE-053</t>
  </si>
  <si>
    <t>TLEA-346</t>
  </si>
  <si>
    <t>3BKZL40X1SF552216</t>
  </si>
  <si>
    <t>RE-069</t>
  </si>
  <si>
    <t>TLEA-347</t>
  </si>
  <si>
    <t>3BKZL40X3SF552217</t>
  </si>
  <si>
    <t>RE-107</t>
  </si>
  <si>
    <t>TLEA-348</t>
  </si>
  <si>
    <t>3BKZL40X5SF552218</t>
  </si>
  <si>
    <t>RE-045</t>
  </si>
  <si>
    <t>TLEA-352</t>
  </si>
  <si>
    <t>RE-C05</t>
  </si>
  <si>
    <t>TLEA-362</t>
  </si>
  <si>
    <t>TLEA-339</t>
  </si>
  <si>
    <t xml:space="preserve"> </t>
  </si>
  <si>
    <t>TLEA-368</t>
  </si>
  <si>
    <t>C-01</t>
  </si>
  <si>
    <t>C-36</t>
  </si>
  <si>
    <t>C-42</t>
  </si>
  <si>
    <t>C-43</t>
  </si>
  <si>
    <t>Unidad</t>
  </si>
  <si>
    <t xml:space="preserve">PROVEEDOR </t>
  </si>
  <si>
    <t xml:space="preserve">INSTALADO </t>
  </si>
  <si>
    <t xml:space="preserve">TLEA-016 </t>
  </si>
  <si>
    <t>COFRIMEX</t>
  </si>
  <si>
    <t>OK</t>
  </si>
  <si>
    <t>TLEA-022</t>
  </si>
  <si>
    <t>ADESU</t>
  </si>
  <si>
    <t>TLEA-051</t>
  </si>
  <si>
    <t>VIESA</t>
  </si>
  <si>
    <t>TLEA-302</t>
  </si>
  <si>
    <t>TLEA-304</t>
  </si>
  <si>
    <t>UNIDAD</t>
  </si>
  <si>
    <t>UN NEGOCIO</t>
  </si>
  <si>
    <t>DIVISION</t>
  </si>
  <si>
    <t>TY-APASEO-</t>
  </si>
  <si>
    <t>U5</t>
  </si>
  <si>
    <t>D3</t>
  </si>
  <si>
    <t>DT-</t>
  </si>
  <si>
    <t>U3</t>
  </si>
  <si>
    <t>D2</t>
  </si>
  <si>
    <t>TY-D-</t>
  </si>
  <si>
    <t>GM-</t>
  </si>
  <si>
    <t>BMW-</t>
  </si>
  <si>
    <t>U2</t>
  </si>
  <si>
    <t>D1</t>
  </si>
  <si>
    <t>U4</t>
  </si>
  <si>
    <t>MZ-</t>
  </si>
  <si>
    <t>AU-</t>
  </si>
  <si>
    <t>U1</t>
  </si>
  <si>
    <t>TY-T-</t>
  </si>
  <si>
    <t>SIN CLIENTE-</t>
  </si>
  <si>
    <t>TLEA-110</t>
  </si>
  <si>
    <t>TY-EXP-</t>
  </si>
  <si>
    <t>MG-</t>
  </si>
  <si>
    <t>TY-MTY-</t>
  </si>
  <si>
    <t>PROVEEDOR</t>
  </si>
  <si>
    <t>Cottrell</t>
  </si>
  <si>
    <t>Quinta Baja</t>
  </si>
  <si>
    <t>Quinta Baja 2.0</t>
  </si>
  <si>
    <t>Dolly</t>
  </si>
  <si>
    <t>Full</t>
  </si>
  <si>
    <t>Quinta Baja Western</t>
  </si>
  <si>
    <t>Lohr</t>
  </si>
  <si>
    <t>Boydstun</t>
  </si>
  <si>
    <t>Quinta Alta</t>
  </si>
  <si>
    <t>Jaes</t>
  </si>
  <si>
    <t>gober</t>
  </si>
  <si>
    <t>traC-to</t>
  </si>
  <si>
    <t>feC-ha</t>
  </si>
  <si>
    <t>C-02</t>
  </si>
  <si>
    <t>C-03</t>
  </si>
  <si>
    <t>C-04</t>
  </si>
  <si>
    <t>C-37</t>
  </si>
  <si>
    <t>C-38</t>
  </si>
  <si>
    <t>C-39</t>
  </si>
  <si>
    <t>C-40</t>
  </si>
  <si>
    <t>C-41</t>
  </si>
  <si>
    <t>C-44</t>
  </si>
  <si>
    <t>C-45</t>
  </si>
  <si>
    <t>null</t>
  </si>
  <si>
    <r>
      <t>'</t>
    </r>
    <r>
      <rPr>
        <sz val="8"/>
        <color rgb="FF9ECE6A"/>
        <rFont val="Consolas"/>
        <family val="3"/>
      </rPr>
      <t>2024-08-0</t>
    </r>
    <r>
      <rPr>
        <sz val="8"/>
        <color rgb="FFFF5370"/>
        <rFont val="Consolas"/>
        <family val="3"/>
      </rPr>
      <t>1</t>
    </r>
  </si>
  <si>
    <r>
      <t>'</t>
    </r>
    <r>
      <rPr>
        <sz val="8"/>
        <color rgb="FF9ECE6A"/>
        <rFont val="Consolas"/>
        <family val="3"/>
      </rPr>
      <t>2024-08-1</t>
    </r>
    <r>
      <rPr>
        <sz val="8"/>
        <color rgb="FFFF5370"/>
        <rFont val="Consolas"/>
        <family val="3"/>
      </rPr>
      <t>7</t>
    </r>
  </si>
  <si>
    <r>
      <t>'</t>
    </r>
    <r>
      <rPr>
        <sz val="8"/>
        <color rgb="FF9ECE6A"/>
        <rFont val="Consolas"/>
        <family val="3"/>
      </rPr>
      <t>2024-10-0</t>
    </r>
    <r>
      <rPr>
        <sz val="8"/>
        <color rgb="FFFF5370"/>
        <rFont val="Consolas"/>
        <family val="3"/>
      </rPr>
      <t>7</t>
    </r>
  </si>
  <si>
    <r>
      <t>'</t>
    </r>
    <r>
      <rPr>
        <sz val="8"/>
        <color rgb="FF9ECE6A"/>
        <rFont val="Consolas"/>
        <family val="3"/>
      </rPr>
      <t>2024-10-3</t>
    </r>
    <r>
      <rPr>
        <sz val="8"/>
        <color rgb="FFFF5370"/>
        <rFont val="Consolas"/>
        <family val="3"/>
      </rPr>
      <t>1</t>
    </r>
  </si>
  <si>
    <r>
      <t>'</t>
    </r>
    <r>
      <rPr>
        <sz val="8"/>
        <color rgb="FF9ECE6A"/>
        <rFont val="Consolas"/>
        <family val="3"/>
      </rPr>
      <t>2024-09-2</t>
    </r>
    <r>
      <rPr>
        <sz val="8"/>
        <color rgb="FFFF5370"/>
        <rFont val="Consolas"/>
        <family val="3"/>
      </rPr>
      <t>0</t>
    </r>
  </si>
  <si>
    <r>
      <t>'</t>
    </r>
    <r>
      <rPr>
        <sz val="8"/>
        <color rgb="FF9ECE6A"/>
        <rFont val="Consolas"/>
        <family val="3"/>
      </rPr>
      <t>2024-08-1</t>
    </r>
    <r>
      <rPr>
        <sz val="8"/>
        <color rgb="FFFF5370"/>
        <rFont val="Consolas"/>
        <family val="3"/>
      </rPr>
      <t>3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</si>
  <si>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1</t>
    </r>
  </si>
  <si>
    <r>
      <t>'</t>
    </r>
    <r>
      <rPr>
        <sz val="8"/>
        <color rgb="FF9ECE6A"/>
        <rFont val="Consolas"/>
        <family val="3"/>
      </rPr>
      <t>2024-08-1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</si>
  <si>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2024-11-1</t>
    </r>
    <r>
      <rPr>
        <sz val="8"/>
        <color rgb="FFFF5370"/>
        <rFont val="Consolas"/>
        <family val="3"/>
      </rPr>
      <t>4</t>
    </r>
  </si>
  <si>
    <r>
      <t>'</t>
    </r>
    <r>
      <rPr>
        <sz val="8"/>
        <color rgb="FF9ECE6A"/>
        <rFont val="Consolas"/>
        <family val="3"/>
      </rPr>
      <t>2024-08-1</t>
    </r>
    <r>
      <rPr>
        <sz val="8"/>
        <color rgb="FFFF5370"/>
        <rFont val="Consolas"/>
        <family val="3"/>
      </rPr>
      <t>6</t>
    </r>
  </si>
  <si>
    <r>
      <t>'</t>
    </r>
    <r>
      <rPr>
        <sz val="8"/>
        <color rgb="FF9ECE6A"/>
        <rFont val="Consolas"/>
        <family val="3"/>
      </rPr>
      <t>2024-11-1</t>
    </r>
    <r>
      <rPr>
        <sz val="8"/>
        <color rgb="FFFF5370"/>
        <rFont val="Consolas"/>
        <family val="3"/>
      </rPr>
      <t>3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</si>
  <si>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3</t>
    </r>
  </si>
  <si>
    <r>
      <t>'</t>
    </r>
    <r>
      <rPr>
        <sz val="8"/>
        <color rgb="FF9ECE6A"/>
        <rFont val="Consolas"/>
        <family val="3"/>
      </rPr>
      <t>2024-08-2</t>
    </r>
    <r>
      <rPr>
        <sz val="8"/>
        <color rgb="FFFF5370"/>
        <rFont val="Consolas"/>
        <family val="3"/>
      </rPr>
      <t>1</t>
    </r>
  </si>
  <si>
    <r>
      <t>'</t>
    </r>
    <r>
      <rPr>
        <sz val="8"/>
        <color rgb="FF9ECE6A"/>
        <rFont val="Consolas"/>
        <family val="3"/>
      </rPr>
      <t>2024-11-1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</si>
  <si>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2024-08-0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</si>
  <si>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2024-11-1</t>
    </r>
    <r>
      <rPr>
        <sz val="8"/>
        <color rgb="FFFF5370"/>
        <rFont val="Consolas"/>
        <family val="3"/>
      </rPr>
      <t>5</t>
    </r>
  </si>
  <si>
    <r>
      <t>'</t>
    </r>
    <r>
      <rPr>
        <sz val="8"/>
        <color rgb="FF9ECE6A"/>
        <rFont val="Consolas"/>
        <family val="3"/>
      </rPr>
      <t>2024-08-2</t>
    </r>
    <r>
      <rPr>
        <sz val="8"/>
        <color rgb="FFFF5370"/>
        <rFont val="Consolas"/>
        <family val="3"/>
      </rPr>
      <t>3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</si>
  <si>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4</t>
    </r>
  </si>
  <si>
    <r>
      <t>'</t>
    </r>
    <r>
      <rPr>
        <sz val="8"/>
        <color rgb="FF9ECE6A"/>
        <rFont val="Consolas"/>
        <family val="3"/>
      </rPr>
      <t>2024-08-1</t>
    </r>
    <r>
      <rPr>
        <sz val="8"/>
        <color rgb="FFFF5370"/>
        <rFont val="Consolas"/>
        <family val="3"/>
      </rPr>
      <t>4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</si>
  <si>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2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</si>
  <si>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7</t>
    </r>
  </si>
  <si>
    <r>
      <t>'</t>
    </r>
    <r>
      <rPr>
        <sz val="8"/>
        <color rgb="FF9ECE6A"/>
        <rFont val="Consolas"/>
        <family val="3"/>
      </rPr>
      <t>2024-11-0</t>
    </r>
    <r>
      <rPr>
        <sz val="8"/>
        <color rgb="FFFF5370"/>
        <rFont val="Consolas"/>
        <family val="3"/>
      </rPr>
      <t>2</t>
    </r>
  </si>
  <si>
    <r>
      <t>'</t>
    </r>
    <r>
      <rPr>
        <sz val="8"/>
        <color rgb="FF9ECE6A"/>
        <rFont val="Consolas"/>
        <family val="3"/>
      </rPr>
      <t>2024-09-0</t>
    </r>
    <r>
      <rPr>
        <sz val="8"/>
        <color rgb="FFFF5370"/>
        <rFont val="Consolas"/>
        <family val="3"/>
      </rPr>
      <t>6</t>
    </r>
  </si>
  <si>
    <r>
      <t>'</t>
    </r>
    <r>
      <rPr>
        <sz val="8"/>
        <color rgb="FF9ECE6A"/>
        <rFont val="Consolas"/>
        <family val="3"/>
      </rPr>
      <t>2024-08-0</t>
    </r>
    <r>
      <rPr>
        <sz val="8"/>
        <color rgb="FFFF5370"/>
        <rFont val="Consolas"/>
        <family val="3"/>
      </rPr>
      <t>8</t>
    </r>
  </si>
  <si>
    <r>
      <t>'</t>
    </r>
    <r>
      <rPr>
        <sz val="8"/>
        <color rgb="FF9ECE6A"/>
        <rFont val="Consolas"/>
        <family val="3"/>
      </rPr>
      <t>2024-09-2</t>
    </r>
    <r>
      <rPr>
        <sz val="8"/>
        <color rgb="FFFF5370"/>
        <rFont val="Consolas"/>
        <family val="3"/>
      </rPr>
      <t>1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</si>
  <si>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0</t>
    </r>
  </si>
  <si>
    <r>
      <t>'</t>
    </r>
    <r>
      <rPr>
        <sz val="8"/>
        <color rgb="FF9ECE6A"/>
        <rFont val="Consolas"/>
        <family val="3"/>
      </rPr>
      <t>2024-11-1</t>
    </r>
    <r>
      <rPr>
        <sz val="8"/>
        <color rgb="FFFF5370"/>
        <rFont val="Consolas"/>
        <family val="3"/>
      </rPr>
      <t>2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</si>
  <si>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6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</si>
  <si>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3</t>
    </r>
  </si>
  <si>
    <r>
      <t>'</t>
    </r>
    <r>
      <rPr>
        <sz val="8"/>
        <color rgb="FF9ECE6A"/>
        <rFont val="Consolas"/>
        <family val="3"/>
      </rPr>
      <t>2024-10-0</t>
    </r>
    <r>
      <rPr>
        <sz val="8"/>
        <color rgb="FFFF5370"/>
        <rFont val="Consolas"/>
        <family val="3"/>
      </rPr>
      <t>8</t>
    </r>
  </si>
  <si>
    <r>
      <t>'</t>
    </r>
    <r>
      <rPr>
        <sz val="8"/>
        <color rgb="FF9ECE6A"/>
        <rFont val="Consolas"/>
        <family val="3"/>
      </rPr>
      <t>2024-09-0</t>
    </r>
    <r>
      <rPr>
        <sz val="8"/>
        <color rgb="FFFF5370"/>
        <rFont val="Consolas"/>
        <family val="3"/>
      </rPr>
      <t>4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</si>
  <si>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1</t>
    </r>
  </si>
  <si>
    <r>
      <t>'</t>
    </r>
    <r>
      <rPr>
        <sz val="8"/>
        <color rgb="FF9ECE6A"/>
        <rFont val="Consolas"/>
        <family val="3"/>
      </rPr>
      <t>2024-08-2</t>
    </r>
    <r>
      <rPr>
        <sz val="8"/>
        <color rgb="FFFF5370"/>
        <rFont val="Consolas"/>
        <family val="3"/>
      </rPr>
      <t>8</t>
    </r>
  </si>
  <si>
    <r>
      <t>'</t>
    </r>
    <r>
      <rPr>
        <sz val="8"/>
        <color rgb="FF9ECE6A"/>
        <rFont val="Consolas"/>
        <family val="3"/>
      </rPr>
      <t>2024-10-0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</si>
  <si>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2024-10-3</t>
    </r>
    <r>
      <rPr>
        <sz val="8"/>
        <color rgb="FFFF5370"/>
        <rFont val="Consolas"/>
        <family val="3"/>
      </rPr>
      <t>0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</si>
  <si>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8</t>
    </r>
  </si>
  <si>
    <r>
      <t>'</t>
    </r>
    <r>
      <rPr>
        <sz val="8"/>
        <color rgb="FF9ECE6A"/>
        <rFont val="Consolas"/>
        <family val="3"/>
      </rPr>
      <t>2024-08-3</t>
    </r>
    <r>
      <rPr>
        <sz val="8"/>
        <color rgb="FFFF5370"/>
        <rFont val="Consolas"/>
        <family val="3"/>
      </rPr>
      <t>0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</si>
  <si>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</si>
  <si>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</si>
  <si>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2024-09-0</t>
    </r>
    <r>
      <rPr>
        <sz val="8"/>
        <color rgb="FFFF5370"/>
        <rFont val="Consolas"/>
        <family val="3"/>
      </rPr>
      <t>7</t>
    </r>
  </si>
  <si>
    <r>
      <t>'</t>
    </r>
    <r>
      <rPr>
        <sz val="8"/>
        <color rgb="FF9ECE6A"/>
        <rFont val="Consolas"/>
        <family val="3"/>
      </rPr>
      <t>2024-10-0</t>
    </r>
    <r>
      <rPr>
        <sz val="8"/>
        <color rgb="FFFF5370"/>
        <rFont val="Consolas"/>
        <family val="3"/>
      </rPr>
      <t>2</t>
    </r>
  </si>
  <si>
    <r>
      <t>'</t>
    </r>
    <r>
      <rPr>
        <sz val="8"/>
        <color rgb="FF9ECE6A"/>
        <rFont val="Consolas"/>
        <family val="3"/>
      </rPr>
      <t>2024-09-2</t>
    </r>
    <r>
      <rPr>
        <sz val="8"/>
        <color rgb="FFFF5370"/>
        <rFont val="Consolas"/>
        <family val="3"/>
      </rPr>
      <t>4</t>
    </r>
  </si>
  <si>
    <r>
      <t>'</t>
    </r>
    <r>
      <rPr>
        <sz val="8"/>
        <color rgb="FF9ECE6A"/>
        <rFont val="Consolas"/>
        <family val="3"/>
      </rPr>
      <t>2024-08-2</t>
    </r>
    <r>
      <rPr>
        <sz val="8"/>
        <color rgb="FFFF5370"/>
        <rFont val="Consolas"/>
        <family val="3"/>
      </rPr>
      <t>9</t>
    </r>
  </si>
  <si>
    <r>
      <t>'</t>
    </r>
    <r>
      <rPr>
        <sz val="8"/>
        <color rgb="FF9ECE6A"/>
        <rFont val="Consolas"/>
        <family val="3"/>
      </rPr>
      <t>2024-09-0</t>
    </r>
    <r>
      <rPr>
        <sz val="8"/>
        <color rgb="FFFF5370"/>
        <rFont val="Consolas"/>
        <family val="3"/>
      </rPr>
      <t>3</t>
    </r>
  </si>
  <si>
    <r>
      <t>'</t>
    </r>
    <r>
      <rPr>
        <sz val="8"/>
        <color rgb="FF9ECE6A"/>
        <rFont val="Consolas"/>
        <family val="3"/>
      </rPr>
      <t>2024-10-1</t>
    </r>
    <r>
      <rPr>
        <sz val="8"/>
        <color rgb="FFFF5370"/>
        <rFont val="Consolas"/>
        <family val="3"/>
      </rPr>
      <t>7</t>
    </r>
  </si>
  <si>
    <r>
      <t>'</t>
    </r>
    <r>
      <rPr>
        <sz val="8"/>
        <color rgb="FF9ECE6A"/>
        <rFont val="Consolas"/>
        <family val="3"/>
      </rPr>
      <t>2024-10-1</t>
    </r>
    <r>
      <rPr>
        <sz val="8"/>
        <color rgb="FFFF5370"/>
        <rFont val="Consolas"/>
        <family val="3"/>
      </rPr>
      <t>6</t>
    </r>
  </si>
  <si>
    <r>
      <t>'</t>
    </r>
    <r>
      <rPr>
        <sz val="8"/>
        <color rgb="FF9ECE6A"/>
        <rFont val="Consolas"/>
        <family val="3"/>
      </rPr>
      <t>2024-10-2</t>
    </r>
    <r>
      <rPr>
        <sz val="8"/>
        <color rgb="FFFF5370"/>
        <rFont val="Consolas"/>
        <family val="3"/>
      </rPr>
      <t>8</t>
    </r>
  </si>
  <si>
    <r>
      <t>'</t>
    </r>
    <r>
      <rPr>
        <sz val="8"/>
        <color rgb="FF9ECE6A"/>
        <rFont val="Consolas"/>
        <family val="3"/>
      </rPr>
      <t>2024-09-1</t>
    </r>
    <r>
      <rPr>
        <sz val="8"/>
        <color rgb="FFFF5370"/>
        <rFont val="Consolas"/>
        <family val="3"/>
      </rPr>
      <t>2</t>
    </r>
  </si>
  <si>
    <r>
      <t>'</t>
    </r>
    <r>
      <rPr>
        <sz val="8"/>
        <color rgb="FF9ECE6A"/>
        <rFont val="Consolas"/>
        <family val="3"/>
      </rPr>
      <t>2024-09-2</t>
    </r>
    <r>
      <rPr>
        <sz val="8"/>
        <color rgb="FFFF5370"/>
        <rFont val="Consolas"/>
        <family val="3"/>
      </rPr>
      <t>5</t>
    </r>
  </si>
  <si>
    <r>
      <t>'</t>
    </r>
    <r>
      <rPr>
        <sz val="8"/>
        <color rgb="FF9ECE6A"/>
        <rFont val="Consolas"/>
        <family val="3"/>
      </rPr>
      <t>2024-11-0</t>
    </r>
    <r>
      <rPr>
        <sz val="8"/>
        <color rgb="FFFF5370"/>
        <rFont val="Consolas"/>
        <family val="3"/>
      </rPr>
      <t>8</t>
    </r>
  </si>
  <si>
    <t>2024-08-27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</si>
</sst>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FF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C000"/>
      <name val="Calibri"/>
      <family val="2"/>
    </font>
    <font>
      <sz val="9"/>
      <color rgb="FF000000"/>
      <name val="Arial"/>
      <family val="2"/>
    </font>
    <font>
      <b/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rgb="FFFF9E64"/>
      <name val="Consolas"/>
      <family val="3"/>
    </font>
    <font>
      <sz val="8"/>
      <color rgb="FF89DDFF"/>
      <name val="Consolas"/>
      <family val="3"/>
    </font>
    <font>
      <sz val="8"/>
      <color rgb="FF9ECE6A"/>
      <name val="Consolas"/>
      <family val="3"/>
    </font>
    <font>
      <sz val="8"/>
      <color rgb="FFFF5370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/>
    </fill>
    <fill>
      <patternFill patternType="solid">
        <fgColor rgb="FF5B9BD5"/>
        <bgColor rgb="FF5B9BD5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2" fillId="3" borderId="0"/>
    <xf numFmtId="0" fontId="3" fillId="0" borderId="1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0" fillId="0" borderId="0" xfId="0" applyAlignment="1">
      <alignment horizontal="right" wrapText="1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4" borderId="15" xfId="0" applyFont="1" applyFill="1" applyBorder="1"/>
    <xf numFmtId="0" fontId="5" fillId="4" borderId="16" xfId="0" applyFont="1" applyFill="1" applyBorder="1"/>
    <xf numFmtId="0" fontId="5" fillId="4" borderId="17" xfId="0" applyFont="1" applyFill="1" applyBorder="1"/>
    <xf numFmtId="0" fontId="0" fillId="9" borderId="19" xfId="0" applyFill="1" applyBorder="1"/>
    <xf numFmtId="0" fontId="0" fillId="9" borderId="18" xfId="0" applyFill="1" applyBorder="1"/>
    <xf numFmtId="0" fontId="0" fillId="9" borderId="20" xfId="0" applyFill="1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4" fontId="1" fillId="2" borderId="31" xfId="0" applyNumberFormat="1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11" fillId="13" borderId="28" xfId="0" applyFont="1" applyFill="1" applyBorder="1" applyAlignment="1">
      <alignment horizontal="center" vertical="center"/>
    </xf>
    <xf numFmtId="10" fontId="11" fillId="13" borderId="28" xfId="0" applyNumberFormat="1" applyFont="1" applyFill="1" applyBorder="1" applyAlignment="1">
      <alignment horizontal="center" vertical="center"/>
    </xf>
    <xf numFmtId="0" fontId="10" fillId="10" borderId="37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0" fillId="14" borderId="21" xfId="0" applyFill="1" applyBorder="1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12" fillId="15" borderId="32" xfId="0" applyFont="1" applyFill="1" applyBorder="1" applyAlignment="1">
      <alignment horizontal="center" vertical="center"/>
    </xf>
    <xf numFmtId="0" fontId="12" fillId="15" borderId="22" xfId="0" applyFont="1" applyFill="1" applyBorder="1" applyAlignment="1">
      <alignment horizontal="center" vertical="center"/>
    </xf>
    <xf numFmtId="0" fontId="12" fillId="15" borderId="24" xfId="0" applyFont="1" applyFill="1" applyBorder="1" applyAlignment="1">
      <alignment horizontal="center" vertical="center"/>
    </xf>
    <xf numFmtId="0" fontId="12" fillId="15" borderId="30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5" borderId="25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12" fillId="15" borderId="26" xfId="0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5" fontId="0" fillId="0" borderId="0" xfId="0" applyNumberForma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quotePrefix="1" applyFont="1" applyAlignment="1">
      <alignment vertical="center"/>
    </xf>
  </cellXfs>
  <cellStyles count="3">
    <cellStyle name="header" xfId="1" xr:uid="{695D7BD5-019E-4089-A7AA-9F7327017BF6}"/>
    <cellStyle name="Normal" xfId="0" builtinId="0"/>
    <cellStyle name="regular" xfId="2" xr:uid="{D9CBA7CC-F9F5-4103-83CA-6688A43BBE7D}"/>
  </cellStyles>
  <dxfs count="3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rgb="FFFFFF00"/>
          <bgColor rgb="FF000000"/>
        </patternFill>
      </fill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5E887"/>
      <color rgb="FFEDAE59"/>
      <color rgb="FFE1E462"/>
      <color rgb="FFFFCC00"/>
      <color rgb="FFFFFF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UNIDADES POR TIPO DE ESTRUCTURA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'BD Parametros'!$S$5</c:f>
              <c:strCache>
                <c:ptCount val="1"/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QUINTA BAJA COTTRELL</c:v>
              </c:pt>
              <c:pt idx="1">
                <c:v>SEMI FULL DOLLY COTTRELL</c:v>
              </c:pt>
              <c:pt idx="2">
                <c:v>QUINTA BAJA 2.0 COTTRELL</c:v>
              </c:pt>
              <c:pt idx="3">
                <c:v>QUINTA BAJA WS COTTRELL</c:v>
              </c:pt>
              <c:pt idx="4">
                <c:v>QUINTA BAJA BOYDSTUN</c:v>
              </c:pt>
              <c:pt idx="5">
                <c:v>FULL COTTRELL</c:v>
              </c:pt>
              <c:pt idx="6">
                <c:v>C3 JAES</c:v>
              </c:pt>
              <c:pt idx="7">
                <c:v>FULL LOHR</c:v>
              </c:pt>
              <c:pt idx="8">
                <c:v>QUINTA ALTA BOYDSTUN</c:v>
              </c:pt>
            </c:strLit>
          </c:cat>
          <c:val>
            <c:numLit>
              <c:formatCode>General</c:formatCode>
              <c:ptCount val="9"/>
              <c:pt idx="0">
                <c:v>46</c:v>
              </c:pt>
              <c:pt idx="1">
                <c:v>37</c:v>
              </c:pt>
              <c:pt idx="2">
                <c:v>37</c:v>
              </c:pt>
              <c:pt idx="3">
                <c:v>23</c:v>
              </c:pt>
              <c:pt idx="4">
                <c:v>22</c:v>
              </c:pt>
              <c:pt idx="5">
                <c:v>20</c:v>
              </c:pt>
              <c:pt idx="6">
                <c:v>16</c:v>
              </c:pt>
              <c:pt idx="7">
                <c:v>9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DA99-48A6-9D3E-DB004E2455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3793871"/>
        <c:axId val="818969679"/>
      </c:barChart>
      <c:catAx>
        <c:axId val="66379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969679"/>
        <c:crosses val="autoZero"/>
        <c:auto val="1"/>
        <c:lblAlgn val="ctr"/>
        <c:lblOffset val="100"/>
        <c:noMultiLvlLbl val="0"/>
      </c:catAx>
      <c:valAx>
        <c:axId val="81896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79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UNIDADES POR TIPO DE MOTOR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'BD Parametros'!$S$17</c:f>
              <c:strCache>
                <c:ptCount val="1"/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CUMMINS X15</c:v>
              </c:pt>
              <c:pt idx="1">
                <c:v>PACCAR MX-13</c:v>
              </c:pt>
              <c:pt idx="2">
                <c:v>DETROIT DD13</c:v>
              </c:pt>
              <c:pt idx="3">
                <c:v>CUMMINS EPA 04</c:v>
              </c:pt>
              <c:pt idx="4">
                <c:v>DETROIT DD15</c:v>
              </c:pt>
            </c:strLit>
          </c:cat>
          <c:val>
            <c:numLit>
              <c:formatCode>General</c:formatCode>
              <c:ptCount val="5"/>
              <c:pt idx="0">
                <c:v>105</c:v>
              </c:pt>
              <c:pt idx="1">
                <c:v>53</c:v>
              </c:pt>
              <c:pt idx="2">
                <c:v>44</c:v>
              </c:pt>
              <c:pt idx="3">
                <c:v>10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6E67-4BCA-BB05-B7B8CD5138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4292879"/>
        <c:axId val="923533775"/>
      </c:barChart>
      <c:catAx>
        <c:axId val="4942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3533775"/>
        <c:crosses val="autoZero"/>
        <c:auto val="1"/>
        <c:lblAlgn val="ctr"/>
        <c:lblOffset val="100"/>
        <c:noMultiLvlLbl val="0"/>
      </c:catAx>
      <c:valAx>
        <c:axId val="9235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42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UNIDADES</a:t>
            </a:r>
            <a:r>
              <a:rPr lang="en-US" sz="1600" baseline="0">
                <a:solidFill>
                  <a:sysClr val="windowText" lastClr="000000"/>
                </a:solidFill>
              </a:rPr>
              <a:t> POR MARCA</a:t>
            </a:r>
            <a:endParaRPr lang="en-US" sz="16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'BD Parametros'!$S$25</c:f>
              <c:strCache>
                <c:ptCount val="1"/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KENWORTH</c:v>
              </c:pt>
              <c:pt idx="1">
                <c:v>WESTERN STAR</c:v>
              </c:pt>
              <c:pt idx="2">
                <c:v>INTERNATIONAL</c:v>
              </c:pt>
              <c:pt idx="3">
                <c:v>FREIGHLINER</c:v>
              </c:pt>
            </c:strLit>
          </c:cat>
          <c:val>
            <c:numLit>
              <c:formatCode>General</c:formatCode>
              <c:ptCount val="4"/>
              <c:pt idx="0">
                <c:v>160</c:v>
              </c:pt>
              <c:pt idx="1">
                <c:v>45</c:v>
              </c:pt>
              <c:pt idx="2">
                <c:v>9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F4B-40BE-810D-C7CF4167EA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7235263"/>
        <c:axId val="666653695"/>
      </c:barChart>
      <c:catAx>
        <c:axId val="6772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6653695"/>
        <c:crosses val="autoZero"/>
        <c:auto val="1"/>
        <c:lblAlgn val="ctr"/>
        <c:lblOffset val="100"/>
        <c:noMultiLvlLbl val="0"/>
      </c:catAx>
      <c:valAx>
        <c:axId val="666653695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23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360362</xdr:colOff>
      <xdr:row>0</xdr:row>
      <xdr:rowOff>169862</xdr:rowOff>
    </xdr:from>
    <xdr:to>
      <xdr:col>1</xdr:col>
      <xdr:colOff>488632</xdr:colOff>
      <xdr:row>3</xdr:row>
      <xdr:rowOff>283209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7C4B4F-5658-4003-957A-374E52F02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362" y="169862"/>
          <a:ext cx="1820863" cy="823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E982E3-3003-45A6-A14D-D149621EF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13</xdr:col>
      <xdr:colOff>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724A1C-CDE2-4EBA-9DE7-6C9D81DE91B3}"/>
            </a:ext>
            <a:ext uri="{147F2762-F138-4A5C-976F-8EAC2B608ADB}">
              <a16:predDERef xmlns:a16="http://schemas.microsoft.com/office/drawing/2014/main" pred="{E3E982E3-3003-45A6-A14D-D149621EF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0</xdr:colOff>
      <xdr:row>14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C9FF8E-6613-4969-B076-A7F9CA9506E6}"/>
            </a:ext>
            <a:ext uri="{147F2762-F138-4A5C-976F-8EAC2B608ADB}">
              <a16:predDERef xmlns:a16="http://schemas.microsoft.com/office/drawing/2014/main" pred="{81724A1C-CDE2-4EBA-9DE7-6C9D81DE9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E9676-798F-4CD7-BE08-D67F557CE0F1}" name="Tabla2" displayName="Tabla2" ref="A5:Q305" totalsRowShown="0" headerRowDxfId="32" dataDxfId="30" headerRowBorderDxfId="31" tableBorderDxfId="29" totalsRowBorderDxfId="28">
  <autoFilter ref="A5:Q305" xr:uid="{129E9676-798F-4CD7-BE08-D67F557CE0F1}"/>
  <tableColumns count="17">
    <tableColumn id="11" xr3:uid="{1DF1DEBD-D0A6-44E2-9117-E4C7D6FCE03F}" name="TIPO ESTRUCTURA" dataDxfId="27">
      <calculatedColumnFormula>Tabla2[[#This Row],[TIPO2]]&amp;" "&amp;Tabla2[[#This Row],[ESTRUCTURA]]</calculatedColumnFormula>
    </tableColumn>
    <tableColumn id="1" xr3:uid="{F1E8EC6B-88AC-4B53-BDCB-D2C284614D06}" name="No. ECO" dataDxfId="26"/>
    <tableColumn id="2" xr3:uid="{618A78EF-E423-48EF-AF0F-C734B50A67AA}" name="VIN" dataDxfId="25"/>
    <tableColumn id="3" xr3:uid="{C279E1CA-5AC1-42B1-9706-95E2637C7FEF}" name="MARCA TRACTO" dataDxfId="24"/>
    <tableColumn id="9" xr3:uid="{7561B1D9-C313-488A-9A00-5870B65E542E}" name="MOTOR " dataDxfId="23"/>
    <tableColumn id="12" xr3:uid="{CC08EBA9-2797-4497-8CD6-9FD50627BC28}" name="TIPO" dataDxfId="22"/>
    <tableColumn id="4" xr3:uid="{1F43AF6A-39CC-4134-8428-6D53FF99F77C}" name="MODELO" dataDxfId="21"/>
    <tableColumn id="5" xr3:uid="{44326FB3-5E46-4200-ACC6-C81FD423057C}" name="AÑO" dataDxfId="20"/>
    <tableColumn id="6" xr3:uid="{DC982AEB-F142-4D59-8088-B42982619106}" name="ESTRUCTURA" dataDxfId="19"/>
    <tableColumn id="7" xr3:uid="{0A7D9FF2-9852-4F84-9D20-5FE8A5C77CF5}" name="TIPO2" dataDxfId="18"/>
    <tableColumn id="13" xr3:uid="{734078EE-A7ED-41EE-B8AC-C752B33637C0}" name="TIPO3" dataDxfId="17"/>
    <tableColumn id="8" xr3:uid="{CD693A81-82CA-49A9-96FA-6C8A8FE5FBC5}" name="ESTATUS" dataDxfId="16"/>
    <tableColumn id="10" xr3:uid="{963F394B-E3AC-4A50-BC51-AE74799A2EE3}" name="REMOLQUE " dataDxfId="15"/>
    <tableColumn id="14" xr3:uid="{03CEEE62-D056-4A8F-9E5C-33E5073445F4}" name="CLIENTE" dataDxfId="14">
      <calculatedColumnFormula>VLOOKUP(Tabla2[[#This Row],[No. ECO]],Hoja1!A:D,2,FALSE)</calculatedColumnFormula>
    </tableColumn>
    <tableColumn id="18" xr3:uid="{A8F0EB4B-244F-46DB-BED4-2F218A5C6D37}" name="Ajuste" dataDxfId="13"/>
    <tableColumn id="15" xr3:uid="{1FC22079-5323-480E-871D-11C621729249}" name="FECHA DE AJUSTE " dataDxfId="12"/>
    <tableColumn id="16" xr3:uid="{484A096E-A04E-44D1-A478-45205D9CE956}" name="BASE DONDE SE REALIZÓ" dataDxfId="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0ED6D-1327-4FF9-AE8A-1EAD896BE9DD}" name="ESTRUCTURAS" displayName="ESTRUCTURAS" ref="A1:B10" totalsRowShown="0" headerRowDxfId="9" dataDxfId="7" headerRowBorderDxfId="8" tableBorderDxfId="6">
  <autoFilter ref="A1:B10" xr:uid="{97A0ED6D-1327-4FF9-AE8A-1EAD896BE9DD}"/>
  <tableColumns count="2">
    <tableColumn id="1" xr3:uid="{360BEBFA-CE90-4FC5-BB6D-D0507B98E4C6}" name="PROVEEDOR" dataDxfId="5"/>
    <tableColumn id="2" xr3:uid="{35467365-17A3-49A4-843B-E24F40F2392E}" name="MODELO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B07D-751E-4D59-B733-0BFE5364B7D2}">
  <dimension ref="A1:U305"/>
  <sheetViews>
    <sheetView showGridLines="0" zoomScale="80" zoomScaleNormal="80" zoomScaleSheetLayoutView="40" workbookViewId="0">
      <pane xSplit="2" ySplit="5" topLeftCell="G96" activePane="bottomRight" state="frozen"/>
      <selection pane="topRight" activeCell="C1" sqref="C1"/>
      <selection pane="bottomLeft" activeCell="A7" sqref="A7"/>
      <selection pane="bottomRight" activeCell="P112" sqref="P112"/>
    </sheetView>
  </sheetViews>
  <sheetFormatPr baseColWidth="10" defaultColWidth="11.44140625" defaultRowHeight="14.4" x14ac:dyDescent="0.3"/>
  <cols>
    <col min="1" max="1" width="24.109375" bestFit="1" customWidth="1"/>
    <col min="2" max="2" width="13.109375" bestFit="1" customWidth="1"/>
    <col min="3" max="3" width="27.109375" customWidth="1"/>
    <col min="4" max="4" width="18" customWidth="1"/>
    <col min="5" max="5" width="15.6640625" customWidth="1"/>
    <col min="6" max="6" width="8.88671875" customWidth="1"/>
    <col min="7" max="7" width="11" customWidth="1"/>
    <col min="8" max="8" width="8.44140625" customWidth="1"/>
    <col min="9" max="9" width="15.33203125" customWidth="1"/>
    <col min="10" max="10" width="16.44140625" customWidth="1"/>
    <col min="11" max="11" width="9" bestFit="1" customWidth="1"/>
    <col min="12" max="12" width="13.88671875" customWidth="1"/>
    <col min="13" max="13" width="14.6640625" bestFit="1" customWidth="1"/>
    <col min="16" max="16" width="23.88671875" style="42" customWidth="1"/>
    <col min="17" max="17" width="26.33203125" customWidth="1"/>
    <col min="20" max="20" width="24.109375" hidden="1" customWidth="1"/>
    <col min="21" max="21" width="25.109375" hidden="1" customWidth="1"/>
  </cols>
  <sheetData>
    <row r="1" spans="1:21" ht="18" x14ac:dyDescent="0.3">
      <c r="A1" s="55"/>
      <c r="B1" s="56"/>
      <c r="C1" s="52" t="s">
        <v>0</v>
      </c>
      <c r="D1" s="52">
        <f>COUNTA(O6:O284)</f>
        <v>279</v>
      </c>
      <c r="E1" s="61" t="s">
        <v>1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</row>
    <row r="2" spans="1:21" ht="18" x14ac:dyDescent="0.3">
      <c r="A2" s="57"/>
      <c r="B2" s="58"/>
      <c r="C2" s="53" t="s">
        <v>2</v>
      </c>
      <c r="D2" s="53">
        <f>COUNTIF(O6:O284,"SI")</f>
        <v>147</v>
      </c>
      <c r="E2" s="64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</row>
    <row r="3" spans="1:21" ht="18" x14ac:dyDescent="0.3">
      <c r="A3" s="57"/>
      <c r="B3" s="58"/>
      <c r="C3" s="54" t="s">
        <v>3</v>
      </c>
      <c r="D3" s="54">
        <f>COUNTIF(O6:O296,"NO")</f>
        <v>132</v>
      </c>
      <c r="E3" s="64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6"/>
    </row>
    <row r="4" spans="1:21" ht="48" customHeight="1" thickBot="1" x14ac:dyDescent="0.35">
      <c r="A4" s="59"/>
      <c r="B4" s="60"/>
      <c r="C4" s="50" t="s">
        <v>4</v>
      </c>
      <c r="D4" s="51">
        <f>D2/D1</f>
        <v>0.5268817204301075</v>
      </c>
      <c r="E4" s="67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/>
      <c r="R4" s="13" t="s">
        <v>5</v>
      </c>
    </row>
    <row r="5" spans="1:21" ht="30.6" customHeight="1" thickBot="1" x14ac:dyDescent="0.35">
      <c r="A5" s="5" t="s">
        <v>6</v>
      </c>
      <c r="B5" s="48" t="s">
        <v>7</v>
      </c>
      <c r="C5" s="29" t="s">
        <v>8</v>
      </c>
      <c r="D5" s="29" t="s">
        <v>9</v>
      </c>
      <c r="E5" s="29" t="s">
        <v>10</v>
      </c>
      <c r="F5" s="29" t="s">
        <v>11</v>
      </c>
      <c r="G5" s="29" t="s">
        <v>12</v>
      </c>
      <c r="H5" s="29" t="s">
        <v>13</v>
      </c>
      <c r="I5" s="29" t="s">
        <v>14</v>
      </c>
      <c r="J5" s="49" t="s">
        <v>15</v>
      </c>
      <c r="K5" s="28" t="s">
        <v>16</v>
      </c>
      <c r="L5" s="29" t="s">
        <v>17</v>
      </c>
      <c r="M5" s="45" t="s">
        <v>18</v>
      </c>
      <c r="N5" s="46" t="s">
        <v>19</v>
      </c>
      <c r="O5" s="46" t="s">
        <v>20</v>
      </c>
      <c r="P5" s="47" t="s">
        <v>21</v>
      </c>
      <c r="Q5" s="46" t="s">
        <v>22</v>
      </c>
    </row>
    <row r="6" spans="1:21" x14ac:dyDescent="0.3">
      <c r="A6" s="6" t="str">
        <f>Tabla2[[#This Row],[TIPO2]]&amp;" "&amp;Tabla2[[#This Row],[ESTRUCTURA]]</f>
        <v>QUINTA BAJA WS COTTRELL</v>
      </c>
      <c r="B6" s="19" t="s">
        <v>23</v>
      </c>
      <c r="C6" s="20" t="s">
        <v>24</v>
      </c>
      <c r="D6" s="20" t="s">
        <v>25</v>
      </c>
      <c r="E6" s="20" t="s">
        <v>26</v>
      </c>
      <c r="F6" s="20" t="s">
        <v>27</v>
      </c>
      <c r="G6" s="20">
        <v>4900</v>
      </c>
      <c r="H6" s="20">
        <v>2023</v>
      </c>
      <c r="I6" s="20" t="s">
        <v>28</v>
      </c>
      <c r="J6" s="21" t="s">
        <v>29</v>
      </c>
      <c r="K6" s="21" t="s">
        <v>30</v>
      </c>
      <c r="L6" s="20" t="s">
        <v>31</v>
      </c>
      <c r="M6" s="23" t="s">
        <v>32</v>
      </c>
      <c r="N6" s="4" t="str">
        <f>VLOOKUP(Tabla2[[#This Row],[No. ECO]],Hoja1!A:D,2,FALSE)</f>
        <v>TY-APASEO-</v>
      </c>
      <c r="O6" s="4" t="s">
        <v>33</v>
      </c>
      <c r="P6" s="44"/>
      <c r="Q6" s="4"/>
      <c r="T6" t="s">
        <v>34</v>
      </c>
      <c r="U6" t="s">
        <v>35</v>
      </c>
    </row>
    <row r="7" spans="1:21" x14ac:dyDescent="0.3">
      <c r="A7" s="4" t="str">
        <f>Tabla2[[#This Row],[TIPO2]]&amp;" "&amp;Tabla2[[#This Row],[ESTRUCTURA]]</f>
        <v>QUINTA BAJA WS COTTRELL</v>
      </c>
      <c r="B7" s="22" t="s">
        <v>36</v>
      </c>
      <c r="C7" s="23" t="s">
        <v>37</v>
      </c>
      <c r="D7" s="23" t="s">
        <v>25</v>
      </c>
      <c r="E7" s="20" t="s">
        <v>38</v>
      </c>
      <c r="F7" s="20" t="s">
        <v>39</v>
      </c>
      <c r="G7" s="20">
        <v>4900</v>
      </c>
      <c r="H7" s="23">
        <v>2023</v>
      </c>
      <c r="I7" s="23" t="s">
        <v>28</v>
      </c>
      <c r="J7" s="21" t="s">
        <v>29</v>
      </c>
      <c r="K7" s="21" t="s">
        <v>30</v>
      </c>
      <c r="L7" s="23" t="s">
        <v>31</v>
      </c>
      <c r="M7" s="23" t="s">
        <v>40</v>
      </c>
      <c r="N7" s="4" t="str">
        <f>VLOOKUP(Tabla2[[#This Row],[No. ECO]],Hoja1!A:D,2,FALSE)</f>
        <v>TY-APASEO-</v>
      </c>
      <c r="O7" s="4" t="s">
        <v>41</v>
      </c>
      <c r="P7" s="44">
        <v>45505</v>
      </c>
      <c r="Q7" s="4" t="s">
        <v>42</v>
      </c>
      <c r="T7" s="30" t="s">
        <v>43</v>
      </c>
      <c r="U7">
        <v>46</v>
      </c>
    </row>
    <row r="8" spans="1:21" x14ac:dyDescent="0.3">
      <c r="A8" s="4" t="str">
        <f>Tabla2[[#This Row],[TIPO2]]&amp;" "&amp;Tabla2[[#This Row],[ESTRUCTURA]]</f>
        <v>QUINTA BAJA WS COTTRELL</v>
      </c>
      <c r="B8" s="22" t="s">
        <v>44</v>
      </c>
      <c r="C8" s="23" t="s">
        <v>45</v>
      </c>
      <c r="D8" s="23" t="s">
        <v>25</v>
      </c>
      <c r="E8" s="20" t="s">
        <v>38</v>
      </c>
      <c r="F8" s="20" t="s">
        <v>39</v>
      </c>
      <c r="G8" s="20">
        <v>4900</v>
      </c>
      <c r="H8" s="23">
        <v>2023</v>
      </c>
      <c r="I8" s="23" t="s">
        <v>28</v>
      </c>
      <c r="J8" s="21" t="s">
        <v>29</v>
      </c>
      <c r="K8" s="21" t="s">
        <v>30</v>
      </c>
      <c r="L8" s="23" t="s">
        <v>31</v>
      </c>
      <c r="M8" s="23" t="s">
        <v>46</v>
      </c>
      <c r="N8" s="4" t="str">
        <f>VLOOKUP(Tabla2[[#This Row],[No. ECO]],Hoja1!A:D,2,FALSE)</f>
        <v>DT-</v>
      </c>
      <c r="O8" s="4" t="s">
        <v>41</v>
      </c>
      <c r="P8" s="44">
        <v>45521</v>
      </c>
      <c r="Q8" s="4" t="s">
        <v>47</v>
      </c>
      <c r="T8" s="30" t="s">
        <v>48</v>
      </c>
      <c r="U8">
        <v>37</v>
      </c>
    </row>
    <row r="9" spans="1:21" x14ac:dyDescent="0.3">
      <c r="A9" s="4" t="str">
        <f>Tabla2[[#This Row],[TIPO2]]&amp;" "&amp;Tabla2[[#This Row],[ESTRUCTURA]]</f>
        <v>QUINTA BAJA WS COTTRELL</v>
      </c>
      <c r="B9" s="22" t="s">
        <v>49</v>
      </c>
      <c r="C9" s="23" t="s">
        <v>50</v>
      </c>
      <c r="D9" s="23" t="s">
        <v>25</v>
      </c>
      <c r="E9" s="20" t="s">
        <v>38</v>
      </c>
      <c r="F9" s="20" t="s">
        <v>39</v>
      </c>
      <c r="G9" s="20">
        <v>4900</v>
      </c>
      <c r="H9" s="23">
        <v>2023</v>
      </c>
      <c r="I9" s="23" t="s">
        <v>28</v>
      </c>
      <c r="J9" s="21" t="s">
        <v>29</v>
      </c>
      <c r="K9" s="21" t="s">
        <v>30</v>
      </c>
      <c r="L9" s="23" t="s">
        <v>31</v>
      </c>
      <c r="M9" s="23" t="s">
        <v>51</v>
      </c>
      <c r="N9" s="4" t="str">
        <f>VLOOKUP(Tabla2[[#This Row],[No. ECO]],Hoja1!A:D,2,FALSE)</f>
        <v>DT-</v>
      </c>
      <c r="O9" s="4" t="s">
        <v>41</v>
      </c>
      <c r="P9" s="44">
        <v>45572</v>
      </c>
      <c r="Q9" s="4" t="s">
        <v>42</v>
      </c>
      <c r="T9" s="30" t="s">
        <v>52</v>
      </c>
      <c r="U9">
        <v>37</v>
      </c>
    </row>
    <row r="10" spans="1:21" x14ac:dyDescent="0.3">
      <c r="A10" s="4" t="str">
        <f>Tabla2[[#This Row],[TIPO2]]&amp;" "&amp;Tabla2[[#This Row],[ESTRUCTURA]]</f>
        <v>QUINTA BAJA WS COTTRELL</v>
      </c>
      <c r="B10" s="22" t="s">
        <v>53</v>
      </c>
      <c r="C10" s="23" t="s">
        <v>54</v>
      </c>
      <c r="D10" s="23" t="s">
        <v>25</v>
      </c>
      <c r="E10" s="20" t="s">
        <v>38</v>
      </c>
      <c r="F10" s="20" t="s">
        <v>39</v>
      </c>
      <c r="G10" s="20">
        <v>4900</v>
      </c>
      <c r="H10" s="23">
        <v>2022</v>
      </c>
      <c r="I10" s="23" t="s">
        <v>28</v>
      </c>
      <c r="J10" s="21" t="s">
        <v>29</v>
      </c>
      <c r="K10" s="21" t="s">
        <v>30</v>
      </c>
      <c r="L10" s="23" t="s">
        <v>31</v>
      </c>
      <c r="M10" s="23" t="s">
        <v>55</v>
      </c>
      <c r="N10" s="4" t="str">
        <f>VLOOKUP(Tabla2[[#This Row],[No. ECO]],Hoja1!A:D,2,FALSE)</f>
        <v>TY-APASEO-</v>
      </c>
      <c r="O10" s="4" t="s">
        <v>33</v>
      </c>
      <c r="P10" s="44"/>
      <c r="Q10" s="4"/>
      <c r="T10" s="30" t="s">
        <v>56</v>
      </c>
      <c r="U10">
        <v>23</v>
      </c>
    </row>
    <row r="11" spans="1:21" x14ac:dyDescent="0.3">
      <c r="A11" s="4" t="str">
        <f>Tabla2[[#This Row],[TIPO2]]&amp;" "&amp;Tabla2[[#This Row],[ESTRUCTURA]]</f>
        <v>QUINTA BAJA WS COTTRELL</v>
      </c>
      <c r="B11" s="22" t="s">
        <v>57</v>
      </c>
      <c r="C11" s="23" t="s">
        <v>58</v>
      </c>
      <c r="D11" s="23" t="s">
        <v>25</v>
      </c>
      <c r="E11" s="23" t="s">
        <v>38</v>
      </c>
      <c r="F11" s="23" t="s">
        <v>39</v>
      </c>
      <c r="G11" s="23">
        <v>4900</v>
      </c>
      <c r="H11" s="23">
        <v>2022</v>
      </c>
      <c r="I11" s="23" t="s">
        <v>28</v>
      </c>
      <c r="J11" s="24" t="s">
        <v>29</v>
      </c>
      <c r="K11" s="24" t="s">
        <v>30</v>
      </c>
      <c r="L11" s="23" t="s">
        <v>31</v>
      </c>
      <c r="M11" s="23" t="s">
        <v>59</v>
      </c>
      <c r="N11" s="4" t="str">
        <f>VLOOKUP(Tabla2[[#This Row],[No. ECO]],Hoja1!A:D,2,FALSE)</f>
        <v>DT-</v>
      </c>
      <c r="O11" s="4" t="s">
        <v>41</v>
      </c>
      <c r="P11" s="44">
        <v>45521</v>
      </c>
      <c r="Q11" s="4" t="s">
        <v>47</v>
      </c>
      <c r="T11" s="30" t="s">
        <v>60</v>
      </c>
      <c r="U11">
        <v>22</v>
      </c>
    </row>
    <row r="12" spans="1:21" x14ac:dyDescent="0.3">
      <c r="A12" s="4" t="str">
        <f>Tabla2[[#This Row],[TIPO2]]&amp;" "&amp;Tabla2[[#This Row],[ESTRUCTURA]]</f>
        <v>QUINTA BAJA WS COTTRELL</v>
      </c>
      <c r="B12" s="22" t="s">
        <v>61</v>
      </c>
      <c r="C12" s="23" t="s">
        <v>62</v>
      </c>
      <c r="D12" s="23" t="s">
        <v>25</v>
      </c>
      <c r="E12" s="23" t="s">
        <v>38</v>
      </c>
      <c r="F12" s="23" t="s">
        <v>39</v>
      </c>
      <c r="G12" s="23">
        <v>4900</v>
      </c>
      <c r="H12" s="23">
        <v>2022</v>
      </c>
      <c r="I12" s="23" t="s">
        <v>28</v>
      </c>
      <c r="J12" s="24" t="s">
        <v>29</v>
      </c>
      <c r="K12" s="24" t="s">
        <v>30</v>
      </c>
      <c r="L12" s="23" t="s">
        <v>31</v>
      </c>
      <c r="M12" s="23" t="s">
        <v>63</v>
      </c>
      <c r="N12" s="4" t="str">
        <f>VLOOKUP(Tabla2[[#This Row],[No. ECO]],Hoja1!A:D,2,FALSE)</f>
        <v>TY-APASEO-</v>
      </c>
      <c r="O12" s="4" t="s">
        <v>41</v>
      </c>
      <c r="P12" s="44">
        <v>45505</v>
      </c>
      <c r="Q12" s="4" t="s">
        <v>42</v>
      </c>
      <c r="T12" s="30" t="s">
        <v>64</v>
      </c>
      <c r="U12">
        <v>20</v>
      </c>
    </row>
    <row r="13" spans="1:21" x14ac:dyDescent="0.3">
      <c r="A13" s="4" t="str">
        <f>Tabla2[[#This Row],[TIPO2]]&amp;" "&amp;Tabla2[[#This Row],[ESTRUCTURA]]</f>
        <v>QUINTA BAJA WS COTTRELL</v>
      </c>
      <c r="B13" s="22" t="s">
        <v>65</v>
      </c>
      <c r="C13" s="23" t="s">
        <v>66</v>
      </c>
      <c r="D13" s="23" t="s">
        <v>25</v>
      </c>
      <c r="E13" s="23" t="s">
        <v>38</v>
      </c>
      <c r="F13" s="23" t="s">
        <v>39</v>
      </c>
      <c r="G13" s="23">
        <v>4900</v>
      </c>
      <c r="H13" s="23">
        <v>2022</v>
      </c>
      <c r="I13" s="23" t="s">
        <v>28</v>
      </c>
      <c r="J13" s="24" t="s">
        <v>29</v>
      </c>
      <c r="K13" s="24" t="s">
        <v>30</v>
      </c>
      <c r="L13" s="23" t="s">
        <v>31</v>
      </c>
      <c r="M13" s="23" t="s">
        <v>67</v>
      </c>
      <c r="N13" s="4" t="str">
        <f>VLOOKUP(Tabla2[[#This Row],[No. ECO]],Hoja1!A:D,2,FALSE)</f>
        <v>TY-APASEO-</v>
      </c>
      <c r="O13" s="4" t="s">
        <v>41</v>
      </c>
      <c r="P13" s="44">
        <v>45596</v>
      </c>
      <c r="Q13" s="4" t="s">
        <v>42</v>
      </c>
      <c r="T13" s="30" t="s">
        <v>68</v>
      </c>
      <c r="U13">
        <v>16</v>
      </c>
    </row>
    <row r="14" spans="1:21" x14ac:dyDescent="0.3">
      <c r="A14" s="4" t="str">
        <f>Tabla2[[#This Row],[TIPO2]]&amp;" "&amp;Tabla2[[#This Row],[ESTRUCTURA]]</f>
        <v>QUINTA BAJA WS COTTRELL</v>
      </c>
      <c r="B14" s="22" t="s">
        <v>69</v>
      </c>
      <c r="C14" s="23" t="s">
        <v>70</v>
      </c>
      <c r="D14" s="23" t="s">
        <v>25</v>
      </c>
      <c r="E14" s="23" t="s">
        <v>38</v>
      </c>
      <c r="F14" s="23" t="s">
        <v>39</v>
      </c>
      <c r="G14" s="23">
        <v>4900</v>
      </c>
      <c r="H14" s="23">
        <v>2022</v>
      </c>
      <c r="I14" s="23" t="s">
        <v>28</v>
      </c>
      <c r="J14" s="24" t="s">
        <v>29</v>
      </c>
      <c r="K14" s="24" t="s">
        <v>30</v>
      </c>
      <c r="L14" s="23" t="s">
        <v>31</v>
      </c>
      <c r="M14" s="23" t="s">
        <v>71</v>
      </c>
      <c r="N14" s="4" t="str">
        <f>VLOOKUP(Tabla2[[#This Row],[No. ECO]],Hoja1!A:D,2,FALSE)</f>
        <v>DT-</v>
      </c>
      <c r="O14" s="4" t="s">
        <v>41</v>
      </c>
      <c r="P14" s="44">
        <v>45555</v>
      </c>
      <c r="Q14" s="4" t="s">
        <v>42</v>
      </c>
      <c r="T14" s="30" t="s">
        <v>72</v>
      </c>
      <c r="U14">
        <v>9</v>
      </c>
    </row>
    <row r="15" spans="1:21" x14ac:dyDescent="0.3">
      <c r="A15" s="4" t="str">
        <f>Tabla2[[#This Row],[TIPO2]]&amp;" "&amp;Tabla2[[#This Row],[ESTRUCTURA]]</f>
        <v>QUINTA BAJA WS COTTRELL</v>
      </c>
      <c r="B15" s="22" t="s">
        <v>73</v>
      </c>
      <c r="C15" s="23" t="s">
        <v>74</v>
      </c>
      <c r="D15" s="23" t="s">
        <v>25</v>
      </c>
      <c r="E15" s="23" t="s">
        <v>38</v>
      </c>
      <c r="F15" s="23" t="s">
        <v>39</v>
      </c>
      <c r="G15" s="23">
        <v>4900</v>
      </c>
      <c r="H15" s="23">
        <v>2022</v>
      </c>
      <c r="I15" s="23" t="s">
        <v>28</v>
      </c>
      <c r="J15" s="24" t="s">
        <v>29</v>
      </c>
      <c r="K15" s="24" t="s">
        <v>30</v>
      </c>
      <c r="L15" s="23" t="s">
        <v>31</v>
      </c>
      <c r="M15" s="23" t="s">
        <v>75</v>
      </c>
      <c r="N15" s="4" t="str">
        <f>VLOOKUP(Tabla2[[#This Row],[No. ECO]],Hoja1!A:D,2,FALSE)</f>
        <v>DT-</v>
      </c>
      <c r="O15" s="4" t="s">
        <v>41</v>
      </c>
      <c r="P15" s="44">
        <v>45521</v>
      </c>
      <c r="Q15" s="4" t="s">
        <v>47</v>
      </c>
      <c r="T15" s="30" t="s">
        <v>76</v>
      </c>
      <c r="U15">
        <v>5</v>
      </c>
    </row>
    <row r="16" spans="1:21" x14ac:dyDescent="0.3">
      <c r="A16" s="4" t="str">
        <f>Tabla2[[#This Row],[TIPO2]]&amp;" "&amp;Tabla2[[#This Row],[ESTRUCTURA]]</f>
        <v>QUINTA BAJA WS COTTRELL</v>
      </c>
      <c r="B16" s="22" t="s">
        <v>77</v>
      </c>
      <c r="C16" s="23" t="s">
        <v>78</v>
      </c>
      <c r="D16" s="23" t="s">
        <v>25</v>
      </c>
      <c r="E16" s="23" t="s">
        <v>38</v>
      </c>
      <c r="F16" s="23" t="s">
        <v>39</v>
      </c>
      <c r="G16" s="23">
        <v>4900</v>
      </c>
      <c r="H16" s="23">
        <v>2022</v>
      </c>
      <c r="I16" s="23" t="s">
        <v>28</v>
      </c>
      <c r="J16" s="24" t="s">
        <v>29</v>
      </c>
      <c r="K16" s="24" t="s">
        <v>30</v>
      </c>
      <c r="L16" s="23" t="s">
        <v>31</v>
      </c>
      <c r="M16" s="23" t="s">
        <v>79</v>
      </c>
      <c r="N16" s="4" t="str">
        <f>VLOOKUP(Tabla2[[#This Row],[No. ECO]],Hoja1!A:D,2,FALSE)</f>
        <v>DT-</v>
      </c>
      <c r="O16" s="4" t="s">
        <v>33</v>
      </c>
      <c r="P16" s="44"/>
      <c r="Q16" s="4"/>
      <c r="T16" s="30" t="s">
        <v>80</v>
      </c>
      <c r="U16">
        <v>215</v>
      </c>
    </row>
    <row r="17" spans="1:21" x14ac:dyDescent="0.3">
      <c r="A17" s="4" t="str">
        <f>Tabla2[[#This Row],[TIPO2]]&amp;" "&amp;Tabla2[[#This Row],[ESTRUCTURA]]</f>
        <v>QUINTA BAJA WS COTTRELL</v>
      </c>
      <c r="B17" s="22" t="s">
        <v>81</v>
      </c>
      <c r="C17" s="23" t="s">
        <v>82</v>
      </c>
      <c r="D17" s="23" t="s">
        <v>25</v>
      </c>
      <c r="E17" s="23" t="s">
        <v>38</v>
      </c>
      <c r="F17" s="23" t="s">
        <v>39</v>
      </c>
      <c r="G17" s="23">
        <v>4900</v>
      </c>
      <c r="H17" s="23">
        <v>2022</v>
      </c>
      <c r="I17" s="23" t="s">
        <v>28</v>
      </c>
      <c r="J17" s="24" t="s">
        <v>29</v>
      </c>
      <c r="K17" s="24" t="s">
        <v>30</v>
      </c>
      <c r="L17" s="23" t="s">
        <v>31</v>
      </c>
      <c r="M17" s="23" t="s">
        <v>83</v>
      </c>
      <c r="N17" s="4" t="str">
        <f>VLOOKUP(Tabla2[[#This Row],[No. ECO]],Hoja1!A:D,2,FALSE)</f>
        <v>DT-</v>
      </c>
      <c r="O17" s="4" t="s">
        <v>33</v>
      </c>
      <c r="P17" s="44"/>
      <c r="Q17" s="4"/>
    </row>
    <row r="18" spans="1:21" x14ac:dyDescent="0.3">
      <c r="A18" s="4" t="str">
        <f>Tabla2[[#This Row],[TIPO2]]&amp;" "&amp;Tabla2[[#This Row],[ESTRUCTURA]]</f>
        <v>QUINTA BAJA WS COTTRELL</v>
      </c>
      <c r="B18" s="22" t="s">
        <v>84</v>
      </c>
      <c r="C18" s="23" t="s">
        <v>85</v>
      </c>
      <c r="D18" s="23" t="s">
        <v>25</v>
      </c>
      <c r="E18" s="23" t="s">
        <v>38</v>
      </c>
      <c r="F18" s="23" t="s">
        <v>39</v>
      </c>
      <c r="G18" s="23">
        <v>4900</v>
      </c>
      <c r="H18" s="23">
        <v>2022</v>
      </c>
      <c r="I18" s="23" t="s">
        <v>28</v>
      </c>
      <c r="J18" s="24" t="s">
        <v>29</v>
      </c>
      <c r="K18" s="24" t="s">
        <v>30</v>
      </c>
      <c r="L18" s="23" t="s">
        <v>31</v>
      </c>
      <c r="M18" s="23" t="s">
        <v>86</v>
      </c>
      <c r="N18" s="4" t="str">
        <f>VLOOKUP(Tabla2[[#This Row],[No. ECO]],Hoja1!A:D,2,FALSE)</f>
        <v>DT-</v>
      </c>
      <c r="O18" s="4" t="s">
        <v>41</v>
      </c>
      <c r="P18" s="44">
        <v>45517</v>
      </c>
      <c r="Q18" s="4" t="s">
        <v>47</v>
      </c>
      <c r="T18" t="s">
        <v>34</v>
      </c>
      <c r="U18" t="s">
        <v>87</v>
      </c>
    </row>
    <row r="19" spans="1:21" x14ac:dyDescent="0.3">
      <c r="A19" s="4" t="str">
        <f>Tabla2[[#This Row],[TIPO2]]&amp;" "&amp;Tabla2[[#This Row],[ESTRUCTURA]]</f>
        <v>QUINTA BAJA WS COTTRELL</v>
      </c>
      <c r="B19" s="22" t="s">
        <v>88</v>
      </c>
      <c r="C19" s="23" t="s">
        <v>89</v>
      </c>
      <c r="D19" s="23" t="s">
        <v>25</v>
      </c>
      <c r="E19" s="23" t="s">
        <v>38</v>
      </c>
      <c r="F19" s="23" t="s">
        <v>39</v>
      </c>
      <c r="G19" s="23">
        <v>4900</v>
      </c>
      <c r="H19" s="23">
        <v>2022</v>
      </c>
      <c r="I19" s="23" t="s">
        <v>28</v>
      </c>
      <c r="J19" s="24" t="s">
        <v>29</v>
      </c>
      <c r="K19" s="24" t="s">
        <v>30</v>
      </c>
      <c r="L19" s="23" t="s">
        <v>31</v>
      </c>
      <c r="M19" s="23" t="s">
        <v>83</v>
      </c>
      <c r="N19" s="4" t="str">
        <f>VLOOKUP(Tabla2[[#This Row],[No. ECO]],Hoja1!A:D,2,FALSE)</f>
        <v>DT-</v>
      </c>
      <c r="O19" s="4" t="s">
        <v>41</v>
      </c>
      <c r="P19" s="44">
        <v>45586</v>
      </c>
      <c r="Q19" s="4" t="s">
        <v>42</v>
      </c>
      <c r="T19" s="30" t="s">
        <v>90</v>
      </c>
      <c r="U19">
        <v>105</v>
      </c>
    </row>
    <row r="20" spans="1:21" x14ac:dyDescent="0.3">
      <c r="A20" s="4" t="str">
        <f>Tabla2[[#This Row],[TIPO2]]&amp;" "&amp;Tabla2[[#This Row],[ESTRUCTURA]]</f>
        <v>FULL COTTRELL</v>
      </c>
      <c r="B20" s="22" t="s">
        <v>91</v>
      </c>
      <c r="C20" s="23" t="s">
        <v>92</v>
      </c>
      <c r="D20" s="23" t="s">
        <v>93</v>
      </c>
      <c r="E20" s="23" t="s">
        <v>90</v>
      </c>
      <c r="F20" s="23" t="s">
        <v>94</v>
      </c>
      <c r="G20" s="23" t="s">
        <v>95</v>
      </c>
      <c r="H20" s="23">
        <v>2023</v>
      </c>
      <c r="I20" s="23" t="s">
        <v>28</v>
      </c>
      <c r="J20" s="24" t="s">
        <v>96</v>
      </c>
      <c r="K20" s="24" t="s">
        <v>96</v>
      </c>
      <c r="L20" s="23" t="s">
        <v>97</v>
      </c>
      <c r="M20" s="23" t="s">
        <v>98</v>
      </c>
      <c r="N20" s="4" t="str">
        <f>VLOOKUP(Tabla2[[#This Row],[No. ECO]],Hoja1!A:D,2,FALSE)</f>
        <v>TY-D-</v>
      </c>
      <c r="O20" s="4" t="s">
        <v>41</v>
      </c>
      <c r="P20" s="44">
        <v>45523</v>
      </c>
      <c r="Q20" s="4" t="s">
        <v>47</v>
      </c>
      <c r="T20" s="30" t="s">
        <v>99</v>
      </c>
      <c r="U20">
        <v>53</v>
      </c>
    </row>
    <row r="21" spans="1:21" x14ac:dyDescent="0.3">
      <c r="A21" s="4" t="str">
        <f>Tabla2[[#This Row],[TIPO2]]&amp;" "&amp;Tabla2[[#This Row],[ESTRUCTURA]]</f>
        <v>QUINTA BAJA COTTRELL</v>
      </c>
      <c r="B21" s="22" t="s">
        <v>100</v>
      </c>
      <c r="C21" s="23" t="s">
        <v>101</v>
      </c>
      <c r="D21" s="23" t="s">
        <v>93</v>
      </c>
      <c r="E21" s="23" t="s">
        <v>90</v>
      </c>
      <c r="F21" s="23" t="s">
        <v>94</v>
      </c>
      <c r="G21" s="23" t="s">
        <v>102</v>
      </c>
      <c r="H21" s="23">
        <v>2024</v>
      </c>
      <c r="I21" s="23" t="s">
        <v>28</v>
      </c>
      <c r="J21" s="24" t="s">
        <v>103</v>
      </c>
      <c r="K21" s="24" t="s">
        <v>104</v>
      </c>
      <c r="L21" s="23" t="s">
        <v>97</v>
      </c>
      <c r="M21" s="23" t="s">
        <v>105</v>
      </c>
      <c r="N21" s="4" t="str">
        <f>VLOOKUP(Tabla2[[#This Row],[No. ECO]],Hoja1!A:D,2,FALSE)</f>
        <v>GM-</v>
      </c>
      <c r="O21" s="4" t="s">
        <v>33</v>
      </c>
      <c r="P21" s="44"/>
      <c r="Q21" s="4"/>
      <c r="T21" s="30" t="s">
        <v>38</v>
      </c>
      <c r="U21">
        <v>44</v>
      </c>
    </row>
    <row r="22" spans="1:21" x14ac:dyDescent="0.3">
      <c r="A22" s="4" t="str">
        <f>Tabla2[[#This Row],[TIPO2]]&amp;" "&amp;Tabla2[[#This Row],[ESTRUCTURA]]</f>
        <v>QUINTA BAJA COTTRELL</v>
      </c>
      <c r="B22" s="22" t="s">
        <v>106</v>
      </c>
      <c r="C22" s="23" t="s">
        <v>107</v>
      </c>
      <c r="D22" s="23" t="s">
        <v>93</v>
      </c>
      <c r="E22" s="23" t="s">
        <v>90</v>
      </c>
      <c r="F22" s="23" t="s">
        <v>94</v>
      </c>
      <c r="G22" s="23" t="s">
        <v>95</v>
      </c>
      <c r="H22" s="23">
        <v>2023</v>
      </c>
      <c r="I22" s="23" t="s">
        <v>28</v>
      </c>
      <c r="J22" s="24" t="s">
        <v>103</v>
      </c>
      <c r="K22" s="24" t="s">
        <v>104</v>
      </c>
      <c r="L22" s="23" t="s">
        <v>97</v>
      </c>
      <c r="M22" s="23" t="s">
        <v>108</v>
      </c>
      <c r="N22" s="4" t="str">
        <f>VLOOKUP(Tabla2[[#This Row],[No. ECO]],Hoja1!A:D,2,FALSE)</f>
        <v>GM-</v>
      </c>
      <c r="O22" s="4" t="s">
        <v>41</v>
      </c>
      <c r="P22" s="44">
        <v>45610</v>
      </c>
      <c r="Q22" s="4" t="s">
        <v>42</v>
      </c>
      <c r="T22" s="30" t="s">
        <v>109</v>
      </c>
      <c r="U22">
        <v>10</v>
      </c>
    </row>
    <row r="23" spans="1:21" x14ac:dyDescent="0.3">
      <c r="A23" s="4" t="str">
        <f>Tabla2[[#This Row],[TIPO2]]&amp;" "&amp;Tabla2[[#This Row],[ESTRUCTURA]]</f>
        <v>QUINTA BAJA COTTRELL</v>
      </c>
      <c r="B23" s="22" t="s">
        <v>110</v>
      </c>
      <c r="C23" s="23" t="s">
        <v>111</v>
      </c>
      <c r="D23" s="23" t="s">
        <v>93</v>
      </c>
      <c r="E23" s="23" t="s">
        <v>90</v>
      </c>
      <c r="F23" s="23" t="s">
        <v>94</v>
      </c>
      <c r="G23" s="23" t="s">
        <v>102</v>
      </c>
      <c r="H23" s="23">
        <v>2023</v>
      </c>
      <c r="I23" s="23" t="s">
        <v>28</v>
      </c>
      <c r="J23" s="24" t="s">
        <v>103</v>
      </c>
      <c r="K23" s="24" t="s">
        <v>104</v>
      </c>
      <c r="L23" s="23" t="s">
        <v>97</v>
      </c>
      <c r="M23" s="23" t="s">
        <v>112</v>
      </c>
      <c r="N23" s="4" t="str">
        <f>VLOOKUP(Tabla2[[#This Row],[No. ECO]],Hoja1!A:D,2,FALSE)</f>
        <v>BMW-</v>
      </c>
      <c r="O23" s="4" t="s">
        <v>41</v>
      </c>
      <c r="P23" s="44">
        <v>45520</v>
      </c>
      <c r="Q23" s="4" t="s">
        <v>47</v>
      </c>
      <c r="T23" s="30" t="s">
        <v>26</v>
      </c>
      <c r="U23">
        <v>3</v>
      </c>
    </row>
    <row r="24" spans="1:21" x14ac:dyDescent="0.3">
      <c r="A24" s="4" t="str">
        <f>Tabla2[[#This Row],[TIPO2]]&amp;" "&amp;Tabla2[[#This Row],[ESTRUCTURA]]</f>
        <v>QUINTA BAJA COTTRELL</v>
      </c>
      <c r="B24" s="22" t="s">
        <v>113</v>
      </c>
      <c r="C24" s="23" t="s">
        <v>114</v>
      </c>
      <c r="D24" s="23" t="s">
        <v>93</v>
      </c>
      <c r="E24" s="23" t="s">
        <v>90</v>
      </c>
      <c r="F24" s="23" t="s">
        <v>94</v>
      </c>
      <c r="G24" s="23" t="s">
        <v>102</v>
      </c>
      <c r="H24" s="23">
        <v>2023</v>
      </c>
      <c r="I24" s="23" t="s">
        <v>28</v>
      </c>
      <c r="J24" s="24" t="s">
        <v>103</v>
      </c>
      <c r="K24" s="24" t="s">
        <v>104</v>
      </c>
      <c r="L24" s="23" t="s">
        <v>97</v>
      </c>
      <c r="M24" s="23" t="s">
        <v>115</v>
      </c>
      <c r="N24" s="4" t="str">
        <f>VLOOKUP(Tabla2[[#This Row],[No. ECO]],Hoja1!A:D,2,FALSE)</f>
        <v>GM-</v>
      </c>
      <c r="O24" s="4" t="s">
        <v>41</v>
      </c>
      <c r="P24" s="44">
        <v>45609</v>
      </c>
      <c r="Q24" s="4" t="s">
        <v>42</v>
      </c>
      <c r="T24" s="30" t="s">
        <v>80</v>
      </c>
      <c r="U24">
        <v>215</v>
      </c>
    </row>
    <row r="25" spans="1:21" x14ac:dyDescent="0.3">
      <c r="A25" s="4" t="str">
        <f>Tabla2[[#This Row],[TIPO2]]&amp;" "&amp;Tabla2[[#This Row],[ESTRUCTURA]]</f>
        <v>QUINTA BAJA COTTRELL</v>
      </c>
      <c r="B25" s="22" t="s">
        <v>116</v>
      </c>
      <c r="C25" s="23" t="s">
        <v>117</v>
      </c>
      <c r="D25" s="23" t="s">
        <v>93</v>
      </c>
      <c r="E25" s="23" t="s">
        <v>90</v>
      </c>
      <c r="F25" s="23" t="s">
        <v>94</v>
      </c>
      <c r="G25" s="23" t="s">
        <v>102</v>
      </c>
      <c r="H25" s="23">
        <v>2023</v>
      </c>
      <c r="I25" s="23" t="s">
        <v>28</v>
      </c>
      <c r="J25" s="24" t="s">
        <v>103</v>
      </c>
      <c r="K25" s="24" t="s">
        <v>104</v>
      </c>
      <c r="L25" s="23" t="s">
        <v>97</v>
      </c>
      <c r="M25" s="23" t="s">
        <v>118</v>
      </c>
      <c r="N25" s="4" t="str">
        <f>VLOOKUP(Tabla2[[#This Row],[No. ECO]],Hoja1!A:D,2,FALSE)</f>
        <v>GM-</v>
      </c>
      <c r="O25" s="4" t="s">
        <v>33</v>
      </c>
      <c r="P25" s="44"/>
      <c r="Q25" s="4"/>
    </row>
    <row r="26" spans="1:21" x14ac:dyDescent="0.3">
      <c r="A26" s="4" t="str">
        <f>Tabla2[[#This Row],[TIPO2]]&amp;" "&amp;Tabla2[[#This Row],[ESTRUCTURA]]</f>
        <v>QUINTA BAJA COTTRELL</v>
      </c>
      <c r="B26" s="22" t="s">
        <v>119</v>
      </c>
      <c r="C26" s="23" t="s">
        <v>120</v>
      </c>
      <c r="D26" s="23" t="s">
        <v>93</v>
      </c>
      <c r="E26" s="23" t="s">
        <v>90</v>
      </c>
      <c r="F26" s="23" t="s">
        <v>94</v>
      </c>
      <c r="G26" s="23" t="s">
        <v>102</v>
      </c>
      <c r="H26" s="23">
        <v>2023</v>
      </c>
      <c r="I26" s="23" t="s">
        <v>28</v>
      </c>
      <c r="J26" s="24" t="s">
        <v>103</v>
      </c>
      <c r="K26" s="24" t="s">
        <v>104</v>
      </c>
      <c r="L26" s="23" t="s">
        <v>97</v>
      </c>
      <c r="M26" s="23" t="s">
        <v>121</v>
      </c>
      <c r="N26" s="4" t="str">
        <f>VLOOKUP(Tabla2[[#This Row],[No. ECO]],Hoja1!A:D,2,FALSE)</f>
        <v>BMW-</v>
      </c>
      <c r="O26" s="4" t="s">
        <v>41</v>
      </c>
      <c r="P26" s="44">
        <v>45572</v>
      </c>
      <c r="Q26" s="4" t="s">
        <v>42</v>
      </c>
      <c r="T26" t="s">
        <v>34</v>
      </c>
      <c r="U26" t="s">
        <v>122</v>
      </c>
    </row>
    <row r="27" spans="1:21" x14ac:dyDescent="0.3">
      <c r="A27" s="4" t="str">
        <f>Tabla2[[#This Row],[TIPO2]]&amp;" "&amp;Tabla2[[#This Row],[ESTRUCTURA]]</f>
        <v>QUINTA BAJA COTTRELL</v>
      </c>
      <c r="B27" s="22" t="s">
        <v>123</v>
      </c>
      <c r="C27" s="23" t="s">
        <v>124</v>
      </c>
      <c r="D27" s="23" t="s">
        <v>93</v>
      </c>
      <c r="E27" s="23" t="s">
        <v>90</v>
      </c>
      <c r="F27" s="23" t="s">
        <v>94</v>
      </c>
      <c r="G27" s="23" t="s">
        <v>102</v>
      </c>
      <c r="H27" s="23">
        <v>2023</v>
      </c>
      <c r="I27" s="23" t="s">
        <v>28</v>
      </c>
      <c r="J27" s="24" t="s">
        <v>103</v>
      </c>
      <c r="K27" s="24" t="s">
        <v>104</v>
      </c>
      <c r="L27" s="23" t="s">
        <v>97</v>
      </c>
      <c r="M27" s="23" t="s">
        <v>125</v>
      </c>
      <c r="N27" s="4" t="str">
        <f>VLOOKUP(Tabla2[[#This Row],[No. ECO]],Hoja1!A:D,2,FALSE)</f>
        <v>GM-</v>
      </c>
      <c r="O27" s="4" t="s">
        <v>33</v>
      </c>
      <c r="P27" s="44"/>
      <c r="Q27" s="4"/>
      <c r="T27" s="30" t="s">
        <v>93</v>
      </c>
      <c r="U27">
        <v>160</v>
      </c>
    </row>
    <row r="28" spans="1:21" x14ac:dyDescent="0.3">
      <c r="A28" s="4" t="str">
        <f>Tabla2[[#This Row],[TIPO2]]&amp;" "&amp;Tabla2[[#This Row],[ESTRUCTURA]]</f>
        <v>QUINTA BAJA COTTRELL</v>
      </c>
      <c r="B28" s="22" t="s">
        <v>126</v>
      </c>
      <c r="C28" s="23" t="s">
        <v>127</v>
      </c>
      <c r="D28" s="23" t="s">
        <v>93</v>
      </c>
      <c r="E28" s="23" t="s">
        <v>90</v>
      </c>
      <c r="F28" s="23" t="s">
        <v>94</v>
      </c>
      <c r="G28" s="23" t="s">
        <v>102</v>
      </c>
      <c r="H28" s="23">
        <v>2023</v>
      </c>
      <c r="I28" s="23" t="s">
        <v>28</v>
      </c>
      <c r="J28" s="24" t="s">
        <v>103</v>
      </c>
      <c r="K28" s="24" t="s">
        <v>104</v>
      </c>
      <c r="L28" s="23" t="s">
        <v>97</v>
      </c>
      <c r="M28" s="23" t="s">
        <v>128</v>
      </c>
      <c r="N28" s="4" t="str">
        <f>VLOOKUP(Tabla2[[#This Row],[No. ECO]],Hoja1!A:D,2,FALSE)</f>
        <v>GM-</v>
      </c>
      <c r="O28" s="4" t="s">
        <v>41</v>
      </c>
      <c r="P28" s="44">
        <v>45588</v>
      </c>
      <c r="Q28" s="4" t="s">
        <v>42</v>
      </c>
      <c r="T28" s="30" t="s">
        <v>25</v>
      </c>
      <c r="U28">
        <v>45</v>
      </c>
    </row>
    <row r="29" spans="1:21" x14ac:dyDescent="0.3">
      <c r="A29" s="4" t="str">
        <f>Tabla2[[#This Row],[TIPO2]]&amp;" "&amp;Tabla2[[#This Row],[ESTRUCTURA]]</f>
        <v>SEMI FULL DOLLY COTTRELL</v>
      </c>
      <c r="B29" s="22" t="s">
        <v>129</v>
      </c>
      <c r="C29" s="23" t="s">
        <v>130</v>
      </c>
      <c r="D29" s="23" t="s">
        <v>93</v>
      </c>
      <c r="E29" s="23" t="s">
        <v>90</v>
      </c>
      <c r="F29" s="23" t="s">
        <v>94</v>
      </c>
      <c r="G29" s="23" t="s">
        <v>102</v>
      </c>
      <c r="H29" s="23">
        <v>2024</v>
      </c>
      <c r="I29" s="23" t="s">
        <v>28</v>
      </c>
      <c r="J29" s="24" t="s">
        <v>131</v>
      </c>
      <c r="K29" s="24" t="s">
        <v>132</v>
      </c>
      <c r="L29" s="23" t="s">
        <v>97</v>
      </c>
      <c r="M29" s="23" t="s">
        <v>133</v>
      </c>
      <c r="N29" s="4" t="str">
        <f>VLOOKUP(Tabla2[[#This Row],[No. ECO]],Hoja1!A:D,2,FALSE)</f>
        <v>BMW-</v>
      </c>
      <c r="O29" s="4" t="s">
        <v>41</v>
      </c>
      <c r="P29" s="44">
        <v>45610</v>
      </c>
      <c r="Q29" s="4" t="s">
        <v>42</v>
      </c>
      <c r="T29" s="30" t="s">
        <v>134</v>
      </c>
      <c r="U29">
        <v>9</v>
      </c>
    </row>
    <row r="30" spans="1:21" x14ac:dyDescent="0.3">
      <c r="A30" s="4" t="str">
        <f>Tabla2[[#This Row],[TIPO2]]&amp;" "&amp;Tabla2[[#This Row],[ESTRUCTURA]]</f>
        <v>SEMI FULL DOLLY COTTRELL</v>
      </c>
      <c r="B30" s="22" t="s">
        <v>135</v>
      </c>
      <c r="C30" s="23" t="s">
        <v>136</v>
      </c>
      <c r="D30" s="23" t="s">
        <v>93</v>
      </c>
      <c r="E30" s="23" t="s">
        <v>90</v>
      </c>
      <c r="F30" s="23" t="s">
        <v>94</v>
      </c>
      <c r="G30" s="23" t="s">
        <v>102</v>
      </c>
      <c r="H30" s="23">
        <v>2024</v>
      </c>
      <c r="I30" s="23" t="s">
        <v>28</v>
      </c>
      <c r="J30" s="24" t="s">
        <v>131</v>
      </c>
      <c r="K30" s="24" t="s">
        <v>132</v>
      </c>
      <c r="L30" s="23" t="s">
        <v>97</v>
      </c>
      <c r="M30" s="23" t="s">
        <v>137</v>
      </c>
      <c r="N30" s="4" t="str">
        <f>VLOOKUP(Tabla2[[#This Row],[No. ECO]],Hoja1!A:D,2,FALSE)</f>
        <v>BMW-</v>
      </c>
      <c r="O30" s="4" t="s">
        <v>41</v>
      </c>
      <c r="P30" s="44">
        <v>45572</v>
      </c>
      <c r="Q30" s="4" t="s">
        <v>42</v>
      </c>
      <c r="T30" s="30" t="s">
        <v>138</v>
      </c>
      <c r="U30">
        <v>1</v>
      </c>
    </row>
    <row r="31" spans="1:21" x14ac:dyDescent="0.3">
      <c r="A31" s="4" t="str">
        <f>Tabla2[[#This Row],[TIPO2]]&amp;" "&amp;Tabla2[[#This Row],[ESTRUCTURA]]</f>
        <v>SEMI FULL DOLLY COTTRELL</v>
      </c>
      <c r="B31" s="22" t="s">
        <v>139</v>
      </c>
      <c r="C31" s="23" t="s">
        <v>140</v>
      </c>
      <c r="D31" s="23" t="s">
        <v>93</v>
      </c>
      <c r="E31" s="23" t="s">
        <v>90</v>
      </c>
      <c r="F31" s="23" t="s">
        <v>94</v>
      </c>
      <c r="G31" s="23" t="s">
        <v>95</v>
      </c>
      <c r="H31" s="23">
        <v>2024</v>
      </c>
      <c r="I31" s="23" t="s">
        <v>28</v>
      </c>
      <c r="J31" s="24" t="s">
        <v>131</v>
      </c>
      <c r="K31" s="24" t="s">
        <v>132</v>
      </c>
      <c r="L31" s="23" t="s">
        <v>97</v>
      </c>
      <c r="M31" s="23" t="s">
        <v>141</v>
      </c>
      <c r="N31" s="4" t="str">
        <f>VLOOKUP(Tabla2[[#This Row],[No. ECO]],Hoja1!A:D,2,FALSE)</f>
        <v>GM-</v>
      </c>
      <c r="O31" s="4" t="s">
        <v>33</v>
      </c>
      <c r="P31" s="44"/>
      <c r="Q31" s="4"/>
      <c r="T31" s="30" t="s">
        <v>80</v>
      </c>
      <c r="U31">
        <v>215</v>
      </c>
    </row>
    <row r="32" spans="1:21" x14ac:dyDescent="0.3">
      <c r="A32" s="4" t="str">
        <f>Tabla2[[#This Row],[TIPO2]]&amp;" "&amp;Tabla2[[#This Row],[ESTRUCTURA]]</f>
        <v>SEMI FULL DOLLY COTTRELL</v>
      </c>
      <c r="B32" s="22" t="s">
        <v>142</v>
      </c>
      <c r="C32" s="23" t="s">
        <v>143</v>
      </c>
      <c r="D32" s="23" t="s">
        <v>93</v>
      </c>
      <c r="E32" s="23" t="s">
        <v>90</v>
      </c>
      <c r="F32" s="23" t="s">
        <v>94</v>
      </c>
      <c r="G32" s="23" t="s">
        <v>102</v>
      </c>
      <c r="H32" s="23">
        <v>2024</v>
      </c>
      <c r="I32" s="23" t="s">
        <v>28</v>
      </c>
      <c r="J32" s="24" t="s">
        <v>131</v>
      </c>
      <c r="K32" s="24" t="s">
        <v>132</v>
      </c>
      <c r="L32" s="23" t="s">
        <v>97</v>
      </c>
      <c r="M32" s="23" t="s">
        <v>144</v>
      </c>
      <c r="N32" s="4" t="str">
        <f>VLOOKUP(Tabla2[[#This Row],[No. ECO]],Hoja1!A:D,2,FALSE)</f>
        <v>GM-</v>
      </c>
      <c r="O32" s="4" t="s">
        <v>33</v>
      </c>
      <c r="P32" s="44"/>
      <c r="Q32" s="4"/>
    </row>
    <row r="33" spans="1:17" x14ac:dyDescent="0.3">
      <c r="A33" s="4" t="str">
        <f>Tabla2[[#This Row],[TIPO2]]&amp;" "&amp;Tabla2[[#This Row],[ESTRUCTURA]]</f>
        <v>SEMI FULL DOLLY COTTRELL</v>
      </c>
      <c r="B33" s="22" t="s">
        <v>145</v>
      </c>
      <c r="C33" s="23" t="s">
        <v>146</v>
      </c>
      <c r="D33" s="23" t="s">
        <v>93</v>
      </c>
      <c r="E33" s="23" t="s">
        <v>99</v>
      </c>
      <c r="F33" s="23" t="s">
        <v>147</v>
      </c>
      <c r="G33" s="23" t="s">
        <v>95</v>
      </c>
      <c r="H33" s="23">
        <v>2016</v>
      </c>
      <c r="I33" s="23" t="s">
        <v>28</v>
      </c>
      <c r="J33" s="24" t="s">
        <v>131</v>
      </c>
      <c r="K33" s="24" t="s">
        <v>132</v>
      </c>
      <c r="L33" s="23" t="s">
        <v>148</v>
      </c>
      <c r="M33" s="23" t="s">
        <v>149</v>
      </c>
      <c r="N33" s="4" t="str">
        <f>VLOOKUP(Tabla2[[#This Row],[No. ECO]],Hoja1!A:D,2,FALSE)</f>
        <v>MZ-</v>
      </c>
      <c r="O33" s="4" t="s">
        <v>33</v>
      </c>
      <c r="P33" s="44"/>
      <c r="Q33" s="4"/>
    </row>
    <row r="34" spans="1:17" x14ac:dyDescent="0.3">
      <c r="A34" s="4" t="str">
        <f>Tabla2[[#This Row],[TIPO2]]&amp;" "&amp;Tabla2[[#This Row],[ESTRUCTURA]]</f>
        <v>SEMI FULL DOLLY COTTRELL</v>
      </c>
      <c r="B34" s="22" t="s">
        <v>150</v>
      </c>
      <c r="C34" s="23" t="s">
        <v>151</v>
      </c>
      <c r="D34" s="23" t="s">
        <v>93</v>
      </c>
      <c r="E34" s="23" t="s">
        <v>99</v>
      </c>
      <c r="F34" s="23" t="s">
        <v>147</v>
      </c>
      <c r="G34" s="23" t="s">
        <v>95</v>
      </c>
      <c r="H34" s="23">
        <v>2016</v>
      </c>
      <c r="I34" s="23" t="s">
        <v>28</v>
      </c>
      <c r="J34" s="24" t="s">
        <v>131</v>
      </c>
      <c r="K34" s="24" t="s">
        <v>132</v>
      </c>
      <c r="L34" s="23" t="s">
        <v>148</v>
      </c>
      <c r="M34" s="23" t="s">
        <v>152</v>
      </c>
      <c r="N34" s="4" t="str">
        <f>VLOOKUP(Tabla2[[#This Row],[No. ECO]],Hoja1!A:D,2,FALSE)</f>
        <v>AU-</v>
      </c>
      <c r="O34" s="4" t="s">
        <v>33</v>
      </c>
      <c r="P34" s="44"/>
      <c r="Q34" s="4"/>
    </row>
    <row r="35" spans="1:17" x14ac:dyDescent="0.3">
      <c r="A35" s="4" t="str">
        <f>Tabla2[[#This Row],[TIPO2]]&amp;" "&amp;Tabla2[[#This Row],[ESTRUCTURA]]</f>
        <v>SEMI FULL DOLLY COTTRELL</v>
      </c>
      <c r="B35" s="22" t="s">
        <v>153</v>
      </c>
      <c r="C35" s="23" t="s">
        <v>154</v>
      </c>
      <c r="D35" s="23" t="s">
        <v>93</v>
      </c>
      <c r="E35" s="23" t="s">
        <v>99</v>
      </c>
      <c r="F35" s="23" t="s">
        <v>147</v>
      </c>
      <c r="G35" s="23" t="s">
        <v>95</v>
      </c>
      <c r="H35" s="23">
        <v>2016</v>
      </c>
      <c r="I35" s="23" t="s">
        <v>28</v>
      </c>
      <c r="J35" s="24" t="s">
        <v>131</v>
      </c>
      <c r="K35" s="24" t="s">
        <v>132</v>
      </c>
      <c r="L35" s="23" t="s">
        <v>148</v>
      </c>
      <c r="M35" s="23" t="s">
        <v>155</v>
      </c>
      <c r="N35" s="4" t="str">
        <f>VLOOKUP(Tabla2[[#This Row],[No. ECO]],Hoja1!A:D,2,FALSE)</f>
        <v>MZ-</v>
      </c>
      <c r="O35" s="4" t="s">
        <v>33</v>
      </c>
      <c r="P35" s="44"/>
      <c r="Q35" s="4"/>
    </row>
    <row r="36" spans="1:17" x14ac:dyDescent="0.3">
      <c r="A36" s="4" t="str">
        <f>Tabla2[[#This Row],[TIPO2]]&amp;" "&amp;Tabla2[[#This Row],[ESTRUCTURA]]</f>
        <v>SEMI FULL DOLLY COTTRELL</v>
      </c>
      <c r="B36" s="22" t="s">
        <v>156</v>
      </c>
      <c r="C36" s="23" t="s">
        <v>157</v>
      </c>
      <c r="D36" s="23" t="s">
        <v>93</v>
      </c>
      <c r="E36" s="23" t="s">
        <v>99</v>
      </c>
      <c r="F36" s="23" t="s">
        <v>147</v>
      </c>
      <c r="G36" s="23" t="s">
        <v>95</v>
      </c>
      <c r="H36" s="23">
        <v>2016</v>
      </c>
      <c r="I36" s="23" t="s">
        <v>28</v>
      </c>
      <c r="J36" s="24" t="s">
        <v>131</v>
      </c>
      <c r="K36" s="24" t="s">
        <v>132</v>
      </c>
      <c r="L36" s="23" t="s">
        <v>148</v>
      </c>
      <c r="M36" s="23" t="s">
        <v>158</v>
      </c>
      <c r="N36" s="4" t="str">
        <f>VLOOKUP(Tabla2[[#This Row],[No. ECO]],Hoja1!A:D,2,FALSE)</f>
        <v>AU-</v>
      </c>
      <c r="O36" s="4" t="s">
        <v>33</v>
      </c>
      <c r="P36" s="44"/>
      <c r="Q36" s="4"/>
    </row>
    <row r="37" spans="1:17" x14ac:dyDescent="0.3">
      <c r="A37" s="4" t="str">
        <f>Tabla2[[#This Row],[TIPO2]]&amp;" "&amp;Tabla2[[#This Row],[ESTRUCTURA]]</f>
        <v>SEMI FULL DOLLY COTTRELL</v>
      </c>
      <c r="B37" s="22" t="s">
        <v>159</v>
      </c>
      <c r="C37" s="23" t="s">
        <v>160</v>
      </c>
      <c r="D37" s="23" t="s">
        <v>93</v>
      </c>
      <c r="E37" s="23" t="s">
        <v>90</v>
      </c>
      <c r="F37" s="23" t="s">
        <v>94</v>
      </c>
      <c r="G37" s="23" t="s">
        <v>102</v>
      </c>
      <c r="H37" s="23">
        <v>2024</v>
      </c>
      <c r="I37" s="23" t="s">
        <v>28</v>
      </c>
      <c r="J37" s="24" t="s">
        <v>131</v>
      </c>
      <c r="K37" s="24" t="s">
        <v>132</v>
      </c>
      <c r="L37" s="23" t="s">
        <v>97</v>
      </c>
      <c r="M37" s="23" t="s">
        <v>161</v>
      </c>
      <c r="N37" s="4" t="str">
        <f>VLOOKUP(Tabla2[[#This Row],[No. ECO]],Hoja1!A:D,2,FALSE)</f>
        <v>GM-</v>
      </c>
      <c r="O37" s="4" t="s">
        <v>41</v>
      </c>
      <c r="P37" s="44">
        <v>45572</v>
      </c>
      <c r="Q37" s="4" t="s">
        <v>42</v>
      </c>
    </row>
    <row r="38" spans="1:17" x14ac:dyDescent="0.3">
      <c r="A38" s="4" t="str">
        <f>Tabla2[[#This Row],[TIPO2]]&amp;" "&amp;Tabla2[[#This Row],[ESTRUCTURA]]</f>
        <v>SEMI FULL DOLLY COTTRELL</v>
      </c>
      <c r="B38" s="22" t="s">
        <v>162</v>
      </c>
      <c r="C38" s="23" t="s">
        <v>163</v>
      </c>
      <c r="D38" s="23" t="s">
        <v>93</v>
      </c>
      <c r="E38" s="23" t="s">
        <v>99</v>
      </c>
      <c r="F38" s="23" t="s">
        <v>147</v>
      </c>
      <c r="G38" s="23" t="s">
        <v>95</v>
      </c>
      <c r="H38" s="23">
        <v>2016</v>
      </c>
      <c r="I38" s="23" t="s">
        <v>28</v>
      </c>
      <c r="J38" s="24" t="s">
        <v>131</v>
      </c>
      <c r="K38" s="24" t="s">
        <v>132</v>
      </c>
      <c r="L38" s="23" t="s">
        <v>148</v>
      </c>
      <c r="M38" s="23" t="s">
        <v>164</v>
      </c>
      <c r="N38" s="4" t="str">
        <f>VLOOKUP(Tabla2[[#This Row],[No. ECO]],Hoja1!A:D,2,FALSE)</f>
        <v>MZ-</v>
      </c>
      <c r="O38" s="4" t="s">
        <v>33</v>
      </c>
      <c r="P38" s="44"/>
      <c r="Q38" s="4"/>
    </row>
    <row r="39" spans="1:17" x14ac:dyDescent="0.3">
      <c r="A39" s="4" t="str">
        <f>Tabla2[[#This Row],[TIPO2]]&amp;" "&amp;Tabla2[[#This Row],[ESTRUCTURA]]</f>
        <v>SEMI FULL DOLLY COTTRELL</v>
      </c>
      <c r="B39" s="22" t="s">
        <v>165</v>
      </c>
      <c r="C39" s="23" t="s">
        <v>166</v>
      </c>
      <c r="D39" s="23" t="s">
        <v>93</v>
      </c>
      <c r="E39" s="23" t="s">
        <v>99</v>
      </c>
      <c r="F39" s="23" t="s">
        <v>147</v>
      </c>
      <c r="G39" s="23" t="s">
        <v>95</v>
      </c>
      <c r="H39" s="23">
        <v>2016</v>
      </c>
      <c r="I39" s="23" t="s">
        <v>28</v>
      </c>
      <c r="J39" s="24" t="s">
        <v>131</v>
      </c>
      <c r="K39" s="24" t="s">
        <v>132</v>
      </c>
      <c r="L39" s="23" t="s">
        <v>148</v>
      </c>
      <c r="M39" s="23" t="s">
        <v>167</v>
      </c>
      <c r="N39" s="4" t="str">
        <f>VLOOKUP(Tabla2[[#This Row],[No. ECO]],Hoja1!A:D,2,FALSE)</f>
        <v>TY-T-</v>
      </c>
      <c r="O39" s="4" t="s">
        <v>33</v>
      </c>
      <c r="P39" s="44"/>
      <c r="Q39" s="4"/>
    </row>
    <row r="40" spans="1:17" x14ac:dyDescent="0.3">
      <c r="A40" s="4" t="str">
        <f>Tabla2[[#This Row],[TIPO2]]&amp;" "&amp;Tabla2[[#This Row],[ESTRUCTURA]]</f>
        <v>SEMI FULL DOLLY COTTRELL</v>
      </c>
      <c r="B40" s="22" t="s">
        <v>168</v>
      </c>
      <c r="C40" s="23" t="s">
        <v>169</v>
      </c>
      <c r="D40" s="23" t="s">
        <v>93</v>
      </c>
      <c r="E40" s="23" t="s">
        <v>90</v>
      </c>
      <c r="F40" s="23" t="s">
        <v>94</v>
      </c>
      <c r="G40" s="23" t="s">
        <v>102</v>
      </c>
      <c r="H40" s="23">
        <v>2024</v>
      </c>
      <c r="I40" s="23" t="s">
        <v>28</v>
      </c>
      <c r="J40" s="24" t="s">
        <v>131</v>
      </c>
      <c r="K40" s="24" t="s">
        <v>132</v>
      </c>
      <c r="L40" s="23" t="s">
        <v>97</v>
      </c>
      <c r="M40" s="23" t="s">
        <v>170</v>
      </c>
      <c r="N40" s="4" t="str">
        <f>VLOOKUP(Tabla2[[#This Row],[No. ECO]],Hoja1!A:D,2,FALSE)</f>
        <v>GM-</v>
      </c>
      <c r="O40" s="4" t="s">
        <v>41</v>
      </c>
      <c r="P40" s="44">
        <v>45525</v>
      </c>
      <c r="Q40" s="4" t="s">
        <v>47</v>
      </c>
    </row>
    <row r="41" spans="1:17" x14ac:dyDescent="0.3">
      <c r="A41" s="4" t="str">
        <f>Tabla2[[#This Row],[TIPO2]]&amp;" "&amp;Tabla2[[#This Row],[ESTRUCTURA]]</f>
        <v>SEMI FULL DOLLY COTTRELL</v>
      </c>
      <c r="B41" s="22" t="s">
        <v>171</v>
      </c>
      <c r="C41" s="23" t="s">
        <v>172</v>
      </c>
      <c r="D41" s="23" t="s">
        <v>93</v>
      </c>
      <c r="E41" s="23" t="s">
        <v>99</v>
      </c>
      <c r="F41" s="23" t="s">
        <v>147</v>
      </c>
      <c r="G41" s="23" t="s">
        <v>95</v>
      </c>
      <c r="H41" s="23">
        <v>2016</v>
      </c>
      <c r="I41" s="23" t="s">
        <v>28</v>
      </c>
      <c r="J41" s="24" t="s">
        <v>131</v>
      </c>
      <c r="K41" s="24" t="s">
        <v>132</v>
      </c>
      <c r="L41" s="23" t="s">
        <v>148</v>
      </c>
      <c r="M41" s="23" t="s">
        <v>173</v>
      </c>
      <c r="N41" s="4" t="str">
        <f>VLOOKUP(Tabla2[[#This Row],[No. ECO]],Hoja1!A:D,2,FALSE)</f>
        <v>SIN CLIENTE-</v>
      </c>
      <c r="O41" s="4" t="s">
        <v>33</v>
      </c>
      <c r="P41" s="44"/>
      <c r="Q41" s="4"/>
    </row>
    <row r="42" spans="1:17" x14ac:dyDescent="0.3">
      <c r="A42" s="4" t="str">
        <f>Tabla2[[#This Row],[TIPO2]]&amp;" "&amp;Tabla2[[#This Row],[ESTRUCTURA]]</f>
        <v>SEMI FULL DOLLY COTTRELL</v>
      </c>
      <c r="B42" s="22" t="s">
        <v>174</v>
      </c>
      <c r="C42" s="23" t="s">
        <v>175</v>
      </c>
      <c r="D42" s="23" t="s">
        <v>93</v>
      </c>
      <c r="E42" s="23" t="s">
        <v>99</v>
      </c>
      <c r="F42" s="23" t="s">
        <v>147</v>
      </c>
      <c r="G42" s="23" t="s">
        <v>95</v>
      </c>
      <c r="H42" s="23">
        <v>2016</v>
      </c>
      <c r="I42" s="23" t="s">
        <v>28</v>
      </c>
      <c r="J42" s="24" t="s">
        <v>131</v>
      </c>
      <c r="K42" s="24" t="s">
        <v>132</v>
      </c>
      <c r="L42" s="23" t="s">
        <v>148</v>
      </c>
      <c r="M42" s="23" t="s">
        <v>176</v>
      </c>
      <c r="N42" s="4" t="str">
        <f>VLOOKUP(Tabla2[[#This Row],[No. ECO]],Hoja1!A:D,2,FALSE)</f>
        <v>GM-</v>
      </c>
      <c r="O42" s="4" t="s">
        <v>33</v>
      </c>
      <c r="P42" s="44"/>
      <c r="Q42" s="4"/>
    </row>
    <row r="43" spans="1:17" x14ac:dyDescent="0.3">
      <c r="A43" s="4" t="str">
        <f>Tabla2[[#This Row],[TIPO2]]&amp;" "&amp;Tabla2[[#This Row],[ESTRUCTURA]]</f>
        <v>SEMI FULL DOLLY COTTRELL</v>
      </c>
      <c r="B43" s="22" t="s">
        <v>177</v>
      </c>
      <c r="C43" s="23" t="s">
        <v>178</v>
      </c>
      <c r="D43" s="23" t="s">
        <v>93</v>
      </c>
      <c r="E43" s="23" t="s">
        <v>99</v>
      </c>
      <c r="F43" s="23" t="s">
        <v>147</v>
      </c>
      <c r="G43" s="23" t="s">
        <v>95</v>
      </c>
      <c r="H43" s="23">
        <v>2016</v>
      </c>
      <c r="I43" s="23" t="s">
        <v>28</v>
      </c>
      <c r="J43" s="24" t="s">
        <v>131</v>
      </c>
      <c r="K43" s="24" t="s">
        <v>132</v>
      </c>
      <c r="L43" s="23" t="s">
        <v>148</v>
      </c>
      <c r="M43" s="23" t="s">
        <v>179</v>
      </c>
      <c r="N43" s="4" t="str">
        <f>VLOOKUP(Tabla2[[#This Row],[No. ECO]],Hoja1!A:D,2,FALSE)</f>
        <v>MZ-</v>
      </c>
      <c r="O43" s="4" t="s">
        <v>33</v>
      </c>
      <c r="P43" s="44"/>
      <c r="Q43" s="4"/>
    </row>
    <row r="44" spans="1:17" x14ac:dyDescent="0.3">
      <c r="A44" s="4" t="str">
        <f>Tabla2[[#This Row],[TIPO2]]&amp;" "&amp;Tabla2[[#This Row],[ESTRUCTURA]]</f>
        <v>SEMI FULL DOLLY COTTRELL</v>
      </c>
      <c r="B44" s="22" t="s">
        <v>180</v>
      </c>
      <c r="C44" s="23" t="s">
        <v>181</v>
      </c>
      <c r="D44" s="23" t="s">
        <v>93</v>
      </c>
      <c r="E44" s="23" t="s">
        <v>99</v>
      </c>
      <c r="F44" s="23" t="s">
        <v>147</v>
      </c>
      <c r="G44" s="23" t="s">
        <v>95</v>
      </c>
      <c r="H44" s="23">
        <v>2016</v>
      </c>
      <c r="I44" s="23" t="s">
        <v>28</v>
      </c>
      <c r="J44" s="24" t="s">
        <v>131</v>
      </c>
      <c r="K44" s="24" t="s">
        <v>132</v>
      </c>
      <c r="L44" s="23" t="s">
        <v>148</v>
      </c>
      <c r="M44" s="23" t="s">
        <v>182</v>
      </c>
      <c r="N44" s="4" t="str">
        <f>VLOOKUP(Tabla2[[#This Row],[No. ECO]],Hoja1!A:D,2,FALSE)</f>
        <v>AU-</v>
      </c>
      <c r="O44" s="4" t="s">
        <v>33</v>
      </c>
      <c r="P44" s="44"/>
      <c r="Q44" s="4"/>
    </row>
    <row r="45" spans="1:17" x14ac:dyDescent="0.3">
      <c r="A45" s="4" t="str">
        <f>Tabla2[[#This Row],[TIPO2]]&amp;" "&amp;Tabla2[[#This Row],[ESTRUCTURA]]</f>
        <v>SEMI FULL DOLLY COTTRELL</v>
      </c>
      <c r="B45" s="22" t="s">
        <v>183</v>
      </c>
      <c r="C45" s="23" t="s">
        <v>184</v>
      </c>
      <c r="D45" s="23" t="s">
        <v>93</v>
      </c>
      <c r="E45" s="23" t="s">
        <v>99</v>
      </c>
      <c r="F45" s="23" t="s">
        <v>147</v>
      </c>
      <c r="G45" s="23" t="s">
        <v>95</v>
      </c>
      <c r="H45" s="23">
        <v>2017</v>
      </c>
      <c r="I45" s="23" t="s">
        <v>28</v>
      </c>
      <c r="J45" s="24" t="s">
        <v>131</v>
      </c>
      <c r="K45" s="24" t="s">
        <v>132</v>
      </c>
      <c r="L45" s="23" t="s">
        <v>148</v>
      </c>
      <c r="M45" s="23" t="s">
        <v>185</v>
      </c>
      <c r="N45" s="4" t="str">
        <f>VLOOKUP(Tabla2[[#This Row],[No. ECO]],Hoja1!A:D,2,FALSE)</f>
        <v>GM-</v>
      </c>
      <c r="O45" s="4" t="s">
        <v>33</v>
      </c>
      <c r="P45" s="44"/>
      <c r="Q45" s="4"/>
    </row>
    <row r="46" spans="1:17" x14ac:dyDescent="0.3">
      <c r="A46" s="4" t="str">
        <f>Tabla2[[#This Row],[TIPO2]]&amp;" "&amp;Tabla2[[#This Row],[ESTRUCTURA]]</f>
        <v>SEMI FULL DOLLY COTTRELL</v>
      </c>
      <c r="B46" s="22" t="s">
        <v>186</v>
      </c>
      <c r="C46" s="23" t="s">
        <v>187</v>
      </c>
      <c r="D46" s="23" t="s">
        <v>93</v>
      </c>
      <c r="E46" s="23" t="s">
        <v>99</v>
      </c>
      <c r="F46" s="23" t="s">
        <v>147</v>
      </c>
      <c r="G46" s="23" t="s">
        <v>95</v>
      </c>
      <c r="H46" s="23">
        <v>2017</v>
      </c>
      <c r="I46" s="23" t="s">
        <v>28</v>
      </c>
      <c r="J46" s="24" t="s">
        <v>131</v>
      </c>
      <c r="K46" s="24" t="s">
        <v>132</v>
      </c>
      <c r="L46" s="23" t="s">
        <v>148</v>
      </c>
      <c r="M46" s="23" t="s">
        <v>188</v>
      </c>
      <c r="N46" s="4" t="str">
        <f>VLOOKUP(Tabla2[[#This Row],[No. ECO]],Hoja1!A:D,2,FALSE)</f>
        <v>MZ-</v>
      </c>
      <c r="O46" s="4" t="s">
        <v>33</v>
      </c>
      <c r="P46" s="44"/>
      <c r="Q46" s="4"/>
    </row>
    <row r="47" spans="1:17" x14ac:dyDescent="0.3">
      <c r="A47" s="4" t="str">
        <f>Tabla2[[#This Row],[TIPO2]]&amp;" "&amp;Tabla2[[#This Row],[ESTRUCTURA]]</f>
        <v>SEMI FULL DOLLY COTTRELL</v>
      </c>
      <c r="B47" s="22" t="s">
        <v>189</v>
      </c>
      <c r="C47" s="23" t="s">
        <v>190</v>
      </c>
      <c r="D47" s="23" t="s">
        <v>93</v>
      </c>
      <c r="E47" s="23" t="s">
        <v>99</v>
      </c>
      <c r="F47" s="23" t="s">
        <v>147</v>
      </c>
      <c r="G47" s="23" t="s">
        <v>95</v>
      </c>
      <c r="H47" s="23">
        <v>2017</v>
      </c>
      <c r="I47" s="23" t="s">
        <v>28</v>
      </c>
      <c r="J47" s="24" t="s">
        <v>131</v>
      </c>
      <c r="K47" s="24" t="s">
        <v>132</v>
      </c>
      <c r="L47" s="23" t="s">
        <v>148</v>
      </c>
      <c r="M47" s="23" t="s">
        <v>191</v>
      </c>
      <c r="N47" s="4" t="str">
        <f>VLOOKUP(Tabla2[[#This Row],[No. ECO]],Hoja1!A:D,2,FALSE)</f>
        <v>SIN CLIENTE-</v>
      </c>
      <c r="O47" s="4" t="s">
        <v>33</v>
      </c>
      <c r="P47" s="44"/>
      <c r="Q47" s="4"/>
    </row>
    <row r="48" spans="1:17" x14ac:dyDescent="0.3">
      <c r="A48" s="4" t="str">
        <f>Tabla2[[#This Row],[TIPO2]]&amp;" "&amp;Tabla2[[#This Row],[ESTRUCTURA]]</f>
        <v>SEMI FULL DOLLY COTTRELL</v>
      </c>
      <c r="B48" s="22" t="s">
        <v>192</v>
      </c>
      <c r="C48" s="23" t="s">
        <v>193</v>
      </c>
      <c r="D48" s="23" t="s">
        <v>93</v>
      </c>
      <c r="E48" s="23" t="s">
        <v>90</v>
      </c>
      <c r="F48" s="23" t="s">
        <v>94</v>
      </c>
      <c r="G48" s="23" t="s">
        <v>102</v>
      </c>
      <c r="H48" s="23">
        <v>2024</v>
      </c>
      <c r="I48" s="23" t="s">
        <v>28</v>
      </c>
      <c r="J48" s="24" t="s">
        <v>131</v>
      </c>
      <c r="K48" s="24" t="s">
        <v>132</v>
      </c>
      <c r="L48" s="23" t="s">
        <v>97</v>
      </c>
      <c r="M48" s="23" t="s">
        <v>194</v>
      </c>
      <c r="N48" s="4" t="str">
        <f>VLOOKUP(Tabla2[[#This Row],[No. ECO]],Hoja1!A:D,2,FALSE)</f>
        <v>GM-</v>
      </c>
      <c r="O48" s="4" t="s">
        <v>41</v>
      </c>
      <c r="P48" s="44">
        <v>45615</v>
      </c>
      <c r="Q48" s="4" t="s">
        <v>42</v>
      </c>
    </row>
    <row r="49" spans="1:17" x14ac:dyDescent="0.3">
      <c r="A49" s="4" t="str">
        <f>Tabla2[[#This Row],[TIPO2]]&amp;" "&amp;Tabla2[[#This Row],[ESTRUCTURA]]</f>
        <v>SEMI FULL DOLLY COTTRELL</v>
      </c>
      <c r="B49" s="22" t="s">
        <v>195</v>
      </c>
      <c r="C49" s="23" t="s">
        <v>196</v>
      </c>
      <c r="D49" s="23" t="s">
        <v>93</v>
      </c>
      <c r="E49" s="23" t="s">
        <v>99</v>
      </c>
      <c r="F49" s="23" t="s">
        <v>147</v>
      </c>
      <c r="G49" s="23" t="s">
        <v>95</v>
      </c>
      <c r="H49" s="23">
        <v>2017</v>
      </c>
      <c r="I49" s="23" t="s">
        <v>28</v>
      </c>
      <c r="J49" s="24" t="s">
        <v>131</v>
      </c>
      <c r="K49" s="24" t="s">
        <v>132</v>
      </c>
      <c r="L49" s="23" t="s">
        <v>148</v>
      </c>
      <c r="M49" s="23" t="s">
        <v>197</v>
      </c>
      <c r="N49" s="4" t="str">
        <f>VLOOKUP(Tabla2[[#This Row],[No. ECO]],Hoja1!A:D,2,FALSE)</f>
        <v>SIN CLIENTE-</v>
      </c>
      <c r="O49" s="4" t="s">
        <v>33</v>
      </c>
      <c r="P49" s="44"/>
      <c r="Q49" s="4"/>
    </row>
    <row r="50" spans="1:17" x14ac:dyDescent="0.3">
      <c r="A50" s="4" t="str">
        <f>Tabla2[[#This Row],[TIPO2]]&amp;" "&amp;Tabla2[[#This Row],[ESTRUCTURA]]</f>
        <v>FULL LOHR</v>
      </c>
      <c r="B50" s="22" t="s">
        <v>198</v>
      </c>
      <c r="C50" s="23" t="s">
        <v>199</v>
      </c>
      <c r="D50" s="23" t="s">
        <v>93</v>
      </c>
      <c r="E50" s="23" t="s">
        <v>109</v>
      </c>
      <c r="F50" s="23" t="s">
        <v>200</v>
      </c>
      <c r="G50" s="23" t="s">
        <v>95</v>
      </c>
      <c r="H50" s="23">
        <v>2017</v>
      </c>
      <c r="I50" s="23" t="s">
        <v>201</v>
      </c>
      <c r="J50" s="24" t="s">
        <v>96</v>
      </c>
      <c r="K50" s="24" t="s">
        <v>202</v>
      </c>
      <c r="L50" s="23" t="s">
        <v>148</v>
      </c>
      <c r="M50" s="23" t="s">
        <v>203</v>
      </c>
      <c r="N50" s="4" t="str">
        <f>VLOOKUP(Tabla2[[#This Row],[No. ECO]],Hoja1!A:D,2,FALSE)</f>
        <v>SIN CLIENTE-</v>
      </c>
      <c r="O50" s="4" t="s">
        <v>33</v>
      </c>
      <c r="P50" s="44"/>
      <c r="Q50" s="4"/>
    </row>
    <row r="51" spans="1:17" x14ac:dyDescent="0.3">
      <c r="A51" s="4" t="str">
        <f>Tabla2[[#This Row],[TIPO2]]&amp;" "&amp;Tabla2[[#This Row],[ESTRUCTURA]]</f>
        <v>FULL LOHR</v>
      </c>
      <c r="B51" s="22" t="s">
        <v>204</v>
      </c>
      <c r="C51" s="23" t="s">
        <v>205</v>
      </c>
      <c r="D51" s="23" t="s">
        <v>93</v>
      </c>
      <c r="E51" s="23" t="s">
        <v>109</v>
      </c>
      <c r="F51" s="23" t="s">
        <v>200</v>
      </c>
      <c r="G51" s="23" t="s">
        <v>95</v>
      </c>
      <c r="H51" s="23">
        <v>2017</v>
      </c>
      <c r="I51" s="23" t="s">
        <v>201</v>
      </c>
      <c r="J51" s="24" t="s">
        <v>96</v>
      </c>
      <c r="K51" s="24" t="s">
        <v>202</v>
      </c>
      <c r="L51" s="23" t="s">
        <v>148</v>
      </c>
      <c r="M51" s="23" t="s">
        <v>206</v>
      </c>
      <c r="N51" s="4" t="str">
        <f>VLOOKUP(Tabla2[[#This Row],[No. ECO]],Hoja1!A:D,2,FALSE)</f>
        <v>SIN CLIENTE-</v>
      </c>
      <c r="O51" s="4" t="s">
        <v>33</v>
      </c>
      <c r="P51" s="44"/>
      <c r="Q51" s="4"/>
    </row>
    <row r="52" spans="1:17" x14ac:dyDescent="0.3">
      <c r="A52" s="4" t="str">
        <f>Tabla2[[#This Row],[TIPO2]]&amp;" "&amp;Tabla2[[#This Row],[ESTRUCTURA]]</f>
        <v>FULL LOHR</v>
      </c>
      <c r="B52" s="22" t="s">
        <v>207</v>
      </c>
      <c r="C52" s="23" t="s">
        <v>208</v>
      </c>
      <c r="D52" s="23" t="s">
        <v>93</v>
      </c>
      <c r="E52" s="23" t="s">
        <v>109</v>
      </c>
      <c r="F52" s="23" t="s">
        <v>200</v>
      </c>
      <c r="G52" s="23" t="s">
        <v>95</v>
      </c>
      <c r="H52" s="23">
        <v>2017</v>
      </c>
      <c r="I52" s="23" t="s">
        <v>201</v>
      </c>
      <c r="J52" s="24" t="s">
        <v>96</v>
      </c>
      <c r="K52" s="24" t="s">
        <v>202</v>
      </c>
      <c r="L52" s="23" t="s">
        <v>148</v>
      </c>
      <c r="M52" s="23" t="s">
        <v>209</v>
      </c>
      <c r="N52" s="4" t="str">
        <f>VLOOKUP(Tabla2[[#This Row],[No. ECO]],Hoja1!A:D,2,FALSE)</f>
        <v>SIN CLIENTE-</v>
      </c>
      <c r="O52" s="4" t="s">
        <v>33</v>
      </c>
      <c r="P52" s="44"/>
      <c r="Q52" s="4"/>
    </row>
    <row r="53" spans="1:17" x14ac:dyDescent="0.3">
      <c r="A53" s="4" t="str">
        <f>Tabla2[[#This Row],[TIPO2]]&amp;" "&amp;Tabla2[[#This Row],[ESTRUCTURA]]</f>
        <v>FULL LOHR</v>
      </c>
      <c r="B53" s="22" t="s">
        <v>210</v>
      </c>
      <c r="C53" s="23" t="s">
        <v>211</v>
      </c>
      <c r="D53" s="23" t="s">
        <v>93</v>
      </c>
      <c r="E53" s="23" t="s">
        <v>109</v>
      </c>
      <c r="F53" s="23" t="s">
        <v>200</v>
      </c>
      <c r="G53" s="23" t="s">
        <v>95</v>
      </c>
      <c r="H53" s="23">
        <v>2017</v>
      </c>
      <c r="I53" s="23" t="s">
        <v>201</v>
      </c>
      <c r="J53" s="24" t="s">
        <v>96</v>
      </c>
      <c r="K53" s="24" t="s">
        <v>202</v>
      </c>
      <c r="L53" s="23" t="s">
        <v>148</v>
      </c>
      <c r="M53" s="23" t="s">
        <v>212</v>
      </c>
      <c r="N53" s="4" t="str">
        <f>VLOOKUP(Tabla2[[#This Row],[No. ECO]],Hoja1!A:D,2,FALSE)</f>
        <v>SIN CLIENTE-</v>
      </c>
      <c r="O53" s="4" t="s">
        <v>33</v>
      </c>
      <c r="P53" s="44"/>
      <c r="Q53" s="4"/>
    </row>
    <row r="54" spans="1:17" x14ac:dyDescent="0.3">
      <c r="A54" s="4" t="str">
        <f>Tabla2[[#This Row],[TIPO2]]&amp;" "&amp;Tabla2[[#This Row],[ESTRUCTURA]]</f>
        <v>FULL LOHR</v>
      </c>
      <c r="B54" s="22" t="s">
        <v>213</v>
      </c>
      <c r="C54" s="23" t="s">
        <v>214</v>
      </c>
      <c r="D54" s="23" t="s">
        <v>93</v>
      </c>
      <c r="E54" s="23" t="s">
        <v>109</v>
      </c>
      <c r="F54" s="23" t="s">
        <v>200</v>
      </c>
      <c r="G54" s="23" t="s">
        <v>95</v>
      </c>
      <c r="H54" s="23">
        <v>2017</v>
      </c>
      <c r="I54" s="23" t="s">
        <v>201</v>
      </c>
      <c r="J54" s="24" t="s">
        <v>96</v>
      </c>
      <c r="K54" s="24" t="s">
        <v>202</v>
      </c>
      <c r="L54" s="23" t="s">
        <v>148</v>
      </c>
      <c r="M54" s="23" t="s">
        <v>215</v>
      </c>
      <c r="N54" s="4" t="str">
        <f>VLOOKUP(Tabla2[[#This Row],[No. ECO]],Hoja1!A:D,2,FALSE)</f>
        <v>MZ-</v>
      </c>
      <c r="O54" s="4" t="s">
        <v>33</v>
      </c>
      <c r="P54" s="44"/>
      <c r="Q54" s="4"/>
    </row>
    <row r="55" spans="1:17" x14ac:dyDescent="0.3">
      <c r="A55" s="4" t="str">
        <f>Tabla2[[#This Row],[TIPO2]]&amp;" "&amp;Tabla2[[#This Row],[ESTRUCTURA]]</f>
        <v>FULL LOHR</v>
      </c>
      <c r="B55" s="22" t="s">
        <v>216</v>
      </c>
      <c r="C55" s="23" t="s">
        <v>217</v>
      </c>
      <c r="D55" s="23" t="s">
        <v>93</v>
      </c>
      <c r="E55" s="23" t="s">
        <v>109</v>
      </c>
      <c r="F55" s="23" t="s">
        <v>200</v>
      </c>
      <c r="G55" s="23" t="s">
        <v>95</v>
      </c>
      <c r="H55" s="23">
        <v>2017</v>
      </c>
      <c r="I55" s="23" t="s">
        <v>201</v>
      </c>
      <c r="J55" s="24" t="s">
        <v>96</v>
      </c>
      <c r="K55" s="24" t="s">
        <v>202</v>
      </c>
      <c r="L55" s="23" t="s">
        <v>148</v>
      </c>
      <c r="M55" s="23" t="s">
        <v>218</v>
      </c>
      <c r="N55" s="4" t="str">
        <f>VLOOKUP(Tabla2[[#This Row],[No. ECO]],Hoja1!A:D,2,FALSE)</f>
        <v>SIN CLIENTE-</v>
      </c>
      <c r="O55" s="4" t="s">
        <v>33</v>
      </c>
      <c r="P55" s="44"/>
      <c r="Q55" s="4"/>
    </row>
    <row r="56" spans="1:17" x14ac:dyDescent="0.3">
      <c r="A56" s="4" t="str">
        <f>Tabla2[[#This Row],[TIPO2]]&amp;" "&amp;Tabla2[[#This Row],[ESTRUCTURA]]</f>
        <v>QUINTA BAJA COTTRELL</v>
      </c>
      <c r="B56" s="22" t="s">
        <v>219</v>
      </c>
      <c r="C56" s="23" t="s">
        <v>220</v>
      </c>
      <c r="D56" s="23" t="s">
        <v>93</v>
      </c>
      <c r="E56" s="23" t="s">
        <v>90</v>
      </c>
      <c r="F56" s="23" t="s">
        <v>94</v>
      </c>
      <c r="G56" s="23" t="s">
        <v>102</v>
      </c>
      <c r="H56" s="23">
        <v>2023</v>
      </c>
      <c r="I56" s="23" t="s">
        <v>28</v>
      </c>
      <c r="J56" s="24" t="s">
        <v>103</v>
      </c>
      <c r="K56" s="24" t="s">
        <v>104</v>
      </c>
      <c r="L56" s="23" t="s">
        <v>97</v>
      </c>
      <c r="M56" s="23" t="s">
        <v>221</v>
      </c>
      <c r="N56" s="4" t="str">
        <f>VLOOKUP(Tabla2[[#This Row],[No. ECO]],Hoja1!A:D,2,FALSE)</f>
        <v>GM-</v>
      </c>
      <c r="O56" s="4" t="s">
        <v>41</v>
      </c>
      <c r="P56" s="44">
        <v>45572</v>
      </c>
      <c r="Q56" s="4" t="s">
        <v>42</v>
      </c>
    </row>
    <row r="57" spans="1:17" x14ac:dyDescent="0.3">
      <c r="A57" s="4" t="str">
        <f>Tabla2[[#This Row],[TIPO2]]&amp;" "&amp;Tabla2[[#This Row],[ESTRUCTURA]]</f>
        <v>QUINTA BAJA COTTRELL</v>
      </c>
      <c r="B57" s="22" t="s">
        <v>222</v>
      </c>
      <c r="C57" s="23" t="s">
        <v>223</v>
      </c>
      <c r="D57" s="23" t="s">
        <v>93</v>
      </c>
      <c r="E57" s="23" t="s">
        <v>90</v>
      </c>
      <c r="F57" s="23" t="s">
        <v>94</v>
      </c>
      <c r="G57" s="23" t="s">
        <v>102</v>
      </c>
      <c r="H57" s="23">
        <v>2023</v>
      </c>
      <c r="I57" s="23" t="s">
        <v>28</v>
      </c>
      <c r="J57" s="24" t="s">
        <v>103</v>
      </c>
      <c r="K57" s="24" t="s">
        <v>104</v>
      </c>
      <c r="L57" s="23" t="s">
        <v>97</v>
      </c>
      <c r="M57" s="23" t="s">
        <v>224</v>
      </c>
      <c r="N57" s="4" t="str">
        <f>VLOOKUP(Tabla2[[#This Row],[No. ECO]],Hoja1!A:D,2,FALSE)</f>
        <v>GM-</v>
      </c>
      <c r="O57" s="4" t="s">
        <v>41</v>
      </c>
      <c r="P57" s="44">
        <v>45609</v>
      </c>
      <c r="Q57" s="4" t="s">
        <v>42</v>
      </c>
    </row>
    <row r="58" spans="1:17" x14ac:dyDescent="0.3">
      <c r="A58" s="4" t="str">
        <f>Tabla2[[#This Row],[TIPO2]]&amp;" "&amp;Tabla2[[#This Row],[ESTRUCTURA]]</f>
        <v>QUINTA BAJA COTTRELL</v>
      </c>
      <c r="B58" s="22" t="s">
        <v>225</v>
      </c>
      <c r="C58" s="23" t="s">
        <v>226</v>
      </c>
      <c r="D58" s="23" t="s">
        <v>93</v>
      </c>
      <c r="E58" s="23" t="s">
        <v>90</v>
      </c>
      <c r="F58" s="23" t="s">
        <v>94</v>
      </c>
      <c r="G58" s="23" t="s">
        <v>102</v>
      </c>
      <c r="H58" s="23">
        <v>2024</v>
      </c>
      <c r="I58" s="23" t="s">
        <v>28</v>
      </c>
      <c r="J58" s="24" t="s">
        <v>103</v>
      </c>
      <c r="K58" s="24" t="s">
        <v>104</v>
      </c>
      <c r="L58" s="23" t="s">
        <v>97</v>
      </c>
      <c r="M58" s="23" t="s">
        <v>227</v>
      </c>
      <c r="N58" s="4" t="str">
        <f>VLOOKUP(Tabla2[[#This Row],[No. ECO]],Hoja1!A:D,2,FALSE)</f>
        <v>TY-T-</v>
      </c>
      <c r="O58" s="4" t="s">
        <v>41</v>
      </c>
      <c r="P58" s="44">
        <v>45513</v>
      </c>
      <c r="Q58" s="4" t="s">
        <v>47</v>
      </c>
    </row>
    <row r="59" spans="1:17" x14ac:dyDescent="0.3">
      <c r="A59" s="4" t="str">
        <f>Tabla2[[#This Row],[TIPO2]]&amp;" "&amp;Tabla2[[#This Row],[ESTRUCTURA]]</f>
        <v>QUINTA BAJA COTTRELL</v>
      </c>
      <c r="B59" s="22" t="s">
        <v>228</v>
      </c>
      <c r="C59" s="23" t="s">
        <v>229</v>
      </c>
      <c r="D59" s="23" t="s">
        <v>93</v>
      </c>
      <c r="E59" s="23" t="s">
        <v>90</v>
      </c>
      <c r="F59" s="23" t="s">
        <v>94</v>
      </c>
      <c r="G59" s="23" t="s">
        <v>102</v>
      </c>
      <c r="H59" s="23">
        <v>2024</v>
      </c>
      <c r="I59" s="23" t="s">
        <v>28</v>
      </c>
      <c r="J59" s="24" t="s">
        <v>103</v>
      </c>
      <c r="K59" s="24" t="s">
        <v>104</v>
      </c>
      <c r="L59" s="23" t="s">
        <v>97</v>
      </c>
      <c r="M59" s="23" t="s">
        <v>230</v>
      </c>
      <c r="N59" s="4" t="str">
        <f>VLOOKUP(Tabla2[[#This Row],[No. ECO]],Hoja1!A:D,2,FALSE)</f>
        <v>GM-</v>
      </c>
      <c r="O59" s="4" t="s">
        <v>33</v>
      </c>
      <c r="P59" s="44"/>
      <c r="Q59" s="4"/>
    </row>
    <row r="60" spans="1:17" x14ac:dyDescent="0.3">
      <c r="A60" s="4" t="str">
        <f>Tabla2[[#This Row],[TIPO2]]&amp;" "&amp;Tabla2[[#This Row],[ESTRUCTURA]]</f>
        <v>QUINTA BAJA COTTRELL</v>
      </c>
      <c r="B60" s="22" t="s">
        <v>231</v>
      </c>
      <c r="C60" s="23" t="s">
        <v>232</v>
      </c>
      <c r="D60" s="23" t="s">
        <v>93</v>
      </c>
      <c r="E60" s="23" t="s">
        <v>90</v>
      </c>
      <c r="F60" s="23" t="s">
        <v>94</v>
      </c>
      <c r="G60" s="23" t="s">
        <v>95</v>
      </c>
      <c r="H60" s="23">
        <v>2024</v>
      </c>
      <c r="I60" s="23" t="s">
        <v>28</v>
      </c>
      <c r="J60" s="24" t="s">
        <v>103</v>
      </c>
      <c r="K60" s="24" t="s">
        <v>104</v>
      </c>
      <c r="L60" s="23" t="s">
        <v>97</v>
      </c>
      <c r="M60" s="23" t="s">
        <v>233</v>
      </c>
      <c r="N60" s="4" t="str">
        <f>VLOOKUP(Tabla2[[#This Row],[No. ECO]],Hoja1!A:D,2,FALSE)</f>
        <v>GM-</v>
      </c>
      <c r="O60" s="4" t="s">
        <v>33</v>
      </c>
      <c r="P60" s="44"/>
      <c r="Q60" s="4"/>
    </row>
    <row r="61" spans="1:17" x14ac:dyDescent="0.3">
      <c r="A61" s="4" t="str">
        <f>Tabla2[[#This Row],[TIPO2]]&amp;" "&amp;Tabla2[[#This Row],[ESTRUCTURA]]</f>
        <v>QUINTA BAJA COTTRELL</v>
      </c>
      <c r="B61" s="22" t="s">
        <v>234</v>
      </c>
      <c r="C61" s="23" t="s">
        <v>235</v>
      </c>
      <c r="D61" s="23" t="s">
        <v>93</v>
      </c>
      <c r="E61" s="23" t="s">
        <v>90</v>
      </c>
      <c r="F61" s="23" t="s">
        <v>94</v>
      </c>
      <c r="G61" s="23" t="s">
        <v>102</v>
      </c>
      <c r="H61" s="23">
        <v>2024</v>
      </c>
      <c r="I61" s="23" t="s">
        <v>28</v>
      </c>
      <c r="J61" s="24" t="s">
        <v>103</v>
      </c>
      <c r="K61" s="24" t="s">
        <v>104</v>
      </c>
      <c r="L61" s="23" t="s">
        <v>97</v>
      </c>
      <c r="M61" s="23" t="s">
        <v>236</v>
      </c>
      <c r="N61" s="4" t="str">
        <f>VLOOKUP(Tabla2[[#This Row],[No. ECO]],Hoja1!A:D,2,FALSE)</f>
        <v>GM-</v>
      </c>
      <c r="O61" s="4" t="s">
        <v>41</v>
      </c>
      <c r="P61" s="44">
        <v>45611</v>
      </c>
      <c r="Q61" s="4" t="s">
        <v>42</v>
      </c>
    </row>
    <row r="62" spans="1:17" x14ac:dyDescent="0.3">
      <c r="A62" s="4" t="str">
        <f>Tabla2[[#This Row],[TIPO2]]&amp;" "&amp;Tabla2[[#This Row],[ESTRUCTURA]]</f>
        <v>QUINTA BAJA COTTRELL</v>
      </c>
      <c r="B62" s="22" t="s">
        <v>237</v>
      </c>
      <c r="C62" s="23" t="s">
        <v>238</v>
      </c>
      <c r="D62" s="23" t="s">
        <v>93</v>
      </c>
      <c r="E62" s="23" t="s">
        <v>90</v>
      </c>
      <c r="F62" s="23" t="s">
        <v>94</v>
      </c>
      <c r="G62" s="23" t="s">
        <v>102</v>
      </c>
      <c r="H62" s="23">
        <v>2024</v>
      </c>
      <c r="I62" s="23" t="s">
        <v>28</v>
      </c>
      <c r="J62" s="24" t="s">
        <v>103</v>
      </c>
      <c r="K62" s="24" t="s">
        <v>104</v>
      </c>
      <c r="L62" s="23" t="s">
        <v>31</v>
      </c>
      <c r="M62" s="23" t="s">
        <v>239</v>
      </c>
      <c r="N62" s="4" t="str">
        <f>VLOOKUP(Tabla2[[#This Row],[No. ECO]],Hoja1!A:D,2,FALSE)</f>
        <v>AU-</v>
      </c>
      <c r="O62" s="4" t="s">
        <v>41</v>
      </c>
      <c r="P62" s="44">
        <v>45527</v>
      </c>
      <c r="Q62" s="4" t="s">
        <v>47</v>
      </c>
    </row>
    <row r="63" spans="1:17" x14ac:dyDescent="0.3">
      <c r="A63" s="4" t="str">
        <f>Tabla2[[#This Row],[TIPO2]]&amp;" "&amp;Tabla2[[#This Row],[ESTRUCTURA]]</f>
        <v>QUINTA BAJA COTTRELL</v>
      </c>
      <c r="B63" s="22" t="s">
        <v>240</v>
      </c>
      <c r="C63" s="23" t="s">
        <v>241</v>
      </c>
      <c r="D63" s="23" t="s">
        <v>93</v>
      </c>
      <c r="E63" s="23" t="s">
        <v>90</v>
      </c>
      <c r="F63" s="23" t="s">
        <v>94</v>
      </c>
      <c r="G63" s="23" t="s">
        <v>102</v>
      </c>
      <c r="H63" s="23">
        <v>2023</v>
      </c>
      <c r="I63" s="23" t="s">
        <v>28</v>
      </c>
      <c r="J63" s="24" t="s">
        <v>103</v>
      </c>
      <c r="K63" s="24" t="s">
        <v>104</v>
      </c>
      <c r="L63" s="23" t="s">
        <v>97</v>
      </c>
      <c r="M63" s="23" t="s">
        <v>242</v>
      </c>
      <c r="N63" s="4" t="str">
        <f>VLOOKUP(Tabla2[[#This Row],[No. ECO]],Hoja1!A:D,2,FALSE)</f>
        <v>GM-</v>
      </c>
      <c r="O63" s="4" t="s">
        <v>41</v>
      </c>
      <c r="P63" s="44">
        <v>45589</v>
      </c>
      <c r="Q63" s="4" t="s">
        <v>42</v>
      </c>
    </row>
    <row r="64" spans="1:17" x14ac:dyDescent="0.3">
      <c r="A64" s="4" t="str">
        <f>Tabla2[[#This Row],[TIPO2]]&amp;" "&amp;Tabla2[[#This Row],[ESTRUCTURA]]</f>
        <v>SEMI FULL DOLLY COTTRELL</v>
      </c>
      <c r="B64" s="22" t="s">
        <v>243</v>
      </c>
      <c r="C64" s="23" t="s">
        <v>244</v>
      </c>
      <c r="D64" s="23" t="s">
        <v>93</v>
      </c>
      <c r="E64" s="23" t="s">
        <v>99</v>
      </c>
      <c r="F64" s="23" t="s">
        <v>147</v>
      </c>
      <c r="G64" s="23" t="s">
        <v>95</v>
      </c>
      <c r="H64" s="23">
        <v>2017</v>
      </c>
      <c r="I64" s="23" t="s">
        <v>28</v>
      </c>
      <c r="J64" s="24" t="s">
        <v>131</v>
      </c>
      <c r="K64" s="24" t="s">
        <v>132</v>
      </c>
      <c r="L64" s="23" t="s">
        <v>148</v>
      </c>
      <c r="M64" s="23" t="s">
        <v>245</v>
      </c>
      <c r="N64" s="4" t="str">
        <f>VLOOKUP(Tabla2[[#This Row],[No. ECO]],Hoja1!A:D,2,FALSE)</f>
        <v>SIN CLIENTE-</v>
      </c>
      <c r="O64" s="4" t="s">
        <v>33</v>
      </c>
      <c r="P64" s="44"/>
      <c r="Q64" s="4"/>
    </row>
    <row r="65" spans="1:17" x14ac:dyDescent="0.3">
      <c r="A65" s="4" t="str">
        <f>Tabla2[[#This Row],[TIPO2]]&amp;" "&amp;Tabla2[[#This Row],[ESTRUCTURA]]</f>
        <v>SEMI FULL DOLLY COTTRELL</v>
      </c>
      <c r="B65" s="22" t="s">
        <v>246</v>
      </c>
      <c r="C65" s="23" t="s">
        <v>247</v>
      </c>
      <c r="D65" s="23" t="s">
        <v>93</v>
      </c>
      <c r="E65" s="23" t="s">
        <v>90</v>
      </c>
      <c r="F65" s="23" t="s">
        <v>94</v>
      </c>
      <c r="G65" s="23" t="s">
        <v>102</v>
      </c>
      <c r="H65" s="23">
        <v>2024</v>
      </c>
      <c r="I65" s="23" t="s">
        <v>28</v>
      </c>
      <c r="J65" s="24" t="s">
        <v>131</v>
      </c>
      <c r="K65" s="24" t="s">
        <v>132</v>
      </c>
      <c r="L65" s="23" t="s">
        <v>97</v>
      </c>
      <c r="M65" s="23" t="s">
        <v>248</v>
      </c>
      <c r="N65" s="4" t="str">
        <f>VLOOKUP(Tabla2[[#This Row],[No. ECO]],Hoja1!A:D,2,FALSE)</f>
        <v>GM-</v>
      </c>
      <c r="O65" s="4" t="s">
        <v>33</v>
      </c>
      <c r="P65" s="44"/>
      <c r="Q65" s="4"/>
    </row>
    <row r="66" spans="1:17" x14ac:dyDescent="0.3">
      <c r="A66" s="4" t="str">
        <f>Tabla2[[#This Row],[TIPO2]]&amp;" "&amp;Tabla2[[#This Row],[ESTRUCTURA]]</f>
        <v>SEMI FULL DOLLY COTTRELL</v>
      </c>
      <c r="B66" s="22" t="s">
        <v>249</v>
      </c>
      <c r="C66" s="23" t="s">
        <v>250</v>
      </c>
      <c r="D66" s="23" t="s">
        <v>93</v>
      </c>
      <c r="E66" s="23" t="s">
        <v>99</v>
      </c>
      <c r="F66" s="23" t="s">
        <v>147</v>
      </c>
      <c r="G66" s="23" t="s">
        <v>95</v>
      </c>
      <c r="H66" s="23">
        <v>2017</v>
      </c>
      <c r="I66" s="23" t="s">
        <v>28</v>
      </c>
      <c r="J66" s="24" t="s">
        <v>131</v>
      </c>
      <c r="K66" s="24" t="s">
        <v>132</v>
      </c>
      <c r="L66" s="23" t="s">
        <v>148</v>
      </c>
      <c r="M66" s="23" t="s">
        <v>251</v>
      </c>
      <c r="N66" s="4" t="str">
        <f>VLOOKUP(Tabla2[[#This Row],[No. ECO]],Hoja1!A:D,2,FALSE)</f>
        <v>GM-</v>
      </c>
      <c r="O66" s="4" t="s">
        <v>33</v>
      </c>
      <c r="P66" s="44"/>
      <c r="Q66" s="4"/>
    </row>
    <row r="67" spans="1:17" x14ac:dyDescent="0.3">
      <c r="A67" s="4" t="str">
        <f>Tabla2[[#This Row],[TIPO2]]&amp;" "&amp;Tabla2[[#This Row],[ESTRUCTURA]]</f>
        <v>QUINTA BAJA 2.0 COTTRELL</v>
      </c>
      <c r="B67" s="22" t="s">
        <v>252</v>
      </c>
      <c r="C67" s="23" t="s">
        <v>253</v>
      </c>
      <c r="D67" s="23" t="s">
        <v>93</v>
      </c>
      <c r="E67" s="23" t="s">
        <v>90</v>
      </c>
      <c r="F67" s="23" t="s">
        <v>94</v>
      </c>
      <c r="G67" s="23" t="s">
        <v>102</v>
      </c>
      <c r="H67" s="23">
        <v>2024</v>
      </c>
      <c r="I67" s="23" t="s">
        <v>28</v>
      </c>
      <c r="J67" s="24" t="s">
        <v>254</v>
      </c>
      <c r="K67" s="24" t="s">
        <v>104</v>
      </c>
      <c r="L67" s="23" t="s">
        <v>31</v>
      </c>
      <c r="M67" s="23" t="s">
        <v>255</v>
      </c>
      <c r="N67" s="4" t="str">
        <f>VLOOKUP(Tabla2[[#This Row],[No. ECO]],Hoja1!A:D,2,FALSE)</f>
        <v>GM-</v>
      </c>
      <c r="O67" s="4" t="s">
        <v>33</v>
      </c>
      <c r="P67" s="44"/>
      <c r="Q67" s="4"/>
    </row>
    <row r="68" spans="1:17" x14ac:dyDescent="0.3">
      <c r="A68" s="4" t="str">
        <f>Tabla2[[#This Row],[TIPO2]]&amp;" "&amp;Tabla2[[#This Row],[ESTRUCTURA]]</f>
        <v>QUINTA BAJA 2.0 COTTRELL</v>
      </c>
      <c r="B68" s="22" t="s">
        <v>256</v>
      </c>
      <c r="C68" s="23" t="s">
        <v>257</v>
      </c>
      <c r="D68" s="23" t="s">
        <v>93</v>
      </c>
      <c r="E68" s="23" t="s">
        <v>90</v>
      </c>
      <c r="F68" s="23" t="s">
        <v>94</v>
      </c>
      <c r="G68" s="23" t="s">
        <v>102</v>
      </c>
      <c r="H68" s="23">
        <v>2024</v>
      </c>
      <c r="I68" s="23" t="s">
        <v>28</v>
      </c>
      <c r="J68" s="24" t="s">
        <v>254</v>
      </c>
      <c r="K68" s="24" t="s">
        <v>104</v>
      </c>
      <c r="L68" s="23" t="s">
        <v>31</v>
      </c>
      <c r="M68" s="23" t="s">
        <v>258</v>
      </c>
      <c r="N68" s="4" t="str">
        <f>VLOOKUP(Tabla2[[#This Row],[No. ECO]],Hoja1!A:D,2,FALSE)</f>
        <v>GM-</v>
      </c>
      <c r="O68" s="4" t="s">
        <v>33</v>
      </c>
      <c r="P68" s="44"/>
      <c r="Q68" s="4"/>
    </row>
    <row r="69" spans="1:17" x14ac:dyDescent="0.3">
      <c r="A69" s="4" t="str">
        <f>Tabla2[[#This Row],[TIPO2]]&amp;" "&amp;Tabla2[[#This Row],[ESTRUCTURA]]</f>
        <v>QUINTA BAJA 2.0 COTTRELL</v>
      </c>
      <c r="B69" s="22" t="s">
        <v>259</v>
      </c>
      <c r="C69" s="23" t="s">
        <v>260</v>
      </c>
      <c r="D69" s="23" t="s">
        <v>93</v>
      </c>
      <c r="E69" s="23" t="s">
        <v>90</v>
      </c>
      <c r="F69" s="23" t="s">
        <v>94</v>
      </c>
      <c r="G69" s="23" t="s">
        <v>102</v>
      </c>
      <c r="H69" s="23">
        <v>2024</v>
      </c>
      <c r="I69" s="23" t="s">
        <v>28</v>
      </c>
      <c r="J69" s="24" t="s">
        <v>254</v>
      </c>
      <c r="K69" s="24" t="s">
        <v>104</v>
      </c>
      <c r="L69" s="23" t="s">
        <v>31</v>
      </c>
      <c r="M69" s="23" t="s">
        <v>261</v>
      </c>
      <c r="N69" s="4" t="str">
        <f>VLOOKUP(Tabla2[[#This Row],[No. ECO]],Hoja1!A:D,2,FALSE)</f>
        <v>GM-</v>
      </c>
      <c r="O69" s="4" t="s">
        <v>41</v>
      </c>
      <c r="P69" s="44">
        <v>45611</v>
      </c>
      <c r="Q69" s="4" t="s">
        <v>42</v>
      </c>
    </row>
    <row r="70" spans="1:17" x14ac:dyDescent="0.3">
      <c r="A70" s="4" t="str">
        <f>Tabla2[[#This Row],[TIPO2]]&amp;" "&amp;Tabla2[[#This Row],[ESTRUCTURA]]</f>
        <v>QUINTA BAJA 2.0 COTTRELL</v>
      </c>
      <c r="B70" s="22" t="s">
        <v>262</v>
      </c>
      <c r="C70" s="23" t="s">
        <v>263</v>
      </c>
      <c r="D70" s="23" t="s">
        <v>93</v>
      </c>
      <c r="E70" s="23" t="s">
        <v>90</v>
      </c>
      <c r="F70" s="23" t="s">
        <v>94</v>
      </c>
      <c r="G70" s="23" t="s">
        <v>102</v>
      </c>
      <c r="H70" s="23">
        <v>2024</v>
      </c>
      <c r="I70" s="23" t="s">
        <v>28</v>
      </c>
      <c r="J70" s="24" t="s">
        <v>254</v>
      </c>
      <c r="K70" s="24" t="s">
        <v>104</v>
      </c>
      <c r="L70" s="23" t="s">
        <v>31</v>
      </c>
      <c r="M70" s="23" t="s">
        <v>264</v>
      </c>
      <c r="N70" s="4" t="str">
        <f>VLOOKUP(Tabla2[[#This Row],[No. ECO]],Hoja1!A:D,2,FALSE)</f>
        <v>GM-</v>
      </c>
      <c r="O70" s="4" t="s">
        <v>33</v>
      </c>
      <c r="P70" s="44"/>
      <c r="Q70" s="4"/>
    </row>
    <row r="71" spans="1:17" x14ac:dyDescent="0.3">
      <c r="A71" s="4" t="str">
        <f>Tabla2[[#This Row],[TIPO2]]&amp;" "&amp;Tabla2[[#This Row],[ESTRUCTURA]]</f>
        <v>QUINTA BAJA 2.0 COTTRELL</v>
      </c>
      <c r="B71" s="22" t="s">
        <v>265</v>
      </c>
      <c r="C71" s="23" t="s">
        <v>266</v>
      </c>
      <c r="D71" s="23" t="s">
        <v>93</v>
      </c>
      <c r="E71" s="23" t="s">
        <v>90</v>
      </c>
      <c r="F71" s="23" t="s">
        <v>94</v>
      </c>
      <c r="G71" s="23" t="s">
        <v>102</v>
      </c>
      <c r="H71" s="23">
        <v>2024</v>
      </c>
      <c r="I71" s="23" t="s">
        <v>28</v>
      </c>
      <c r="J71" s="24" t="s">
        <v>254</v>
      </c>
      <c r="K71" s="24" t="s">
        <v>104</v>
      </c>
      <c r="L71" s="23" t="s">
        <v>31</v>
      </c>
      <c r="M71" s="23" t="s">
        <v>267</v>
      </c>
      <c r="N71" s="4" t="str">
        <f>VLOOKUP(Tabla2[[#This Row],[No. ECO]],Hoja1!A:D,2,FALSE)</f>
        <v>GM-</v>
      </c>
      <c r="O71" s="4" t="s">
        <v>33</v>
      </c>
      <c r="P71" s="44"/>
      <c r="Q71" s="4"/>
    </row>
    <row r="72" spans="1:17" x14ac:dyDescent="0.3">
      <c r="A72" s="4" t="str">
        <f>Tabla2[[#This Row],[TIPO2]]&amp;" "&amp;Tabla2[[#This Row],[ESTRUCTURA]]</f>
        <v>QUINTA BAJA 2.0 COTTRELL</v>
      </c>
      <c r="B72" s="22" t="s">
        <v>268</v>
      </c>
      <c r="C72" s="23" t="s">
        <v>269</v>
      </c>
      <c r="D72" s="23" t="s">
        <v>93</v>
      </c>
      <c r="E72" s="23" t="s">
        <v>90</v>
      </c>
      <c r="F72" s="23" t="s">
        <v>94</v>
      </c>
      <c r="G72" s="23" t="s">
        <v>102</v>
      </c>
      <c r="H72" s="23">
        <v>2024</v>
      </c>
      <c r="I72" s="23" t="s">
        <v>28</v>
      </c>
      <c r="J72" s="24" t="s">
        <v>254</v>
      </c>
      <c r="K72" s="24" t="s">
        <v>104</v>
      </c>
      <c r="L72" s="23" t="s">
        <v>31</v>
      </c>
      <c r="M72" s="23" t="s">
        <v>270</v>
      </c>
      <c r="N72" s="4" t="str">
        <f>VLOOKUP(Tabla2[[#This Row],[No. ECO]],Hoja1!A:D,2,FALSE)</f>
        <v>GM-</v>
      </c>
      <c r="O72" s="4" t="s">
        <v>33</v>
      </c>
      <c r="P72" s="44"/>
      <c r="Q72" s="4"/>
    </row>
    <row r="73" spans="1:17" x14ac:dyDescent="0.3">
      <c r="A73" s="4" t="str">
        <f>Tabla2[[#This Row],[TIPO2]]&amp;" "&amp;Tabla2[[#This Row],[ESTRUCTURA]]</f>
        <v>QUINTA BAJA 2.0 COTTRELL</v>
      </c>
      <c r="B73" s="22" t="s">
        <v>271</v>
      </c>
      <c r="C73" s="23" t="s">
        <v>272</v>
      </c>
      <c r="D73" s="23" t="s">
        <v>93</v>
      </c>
      <c r="E73" s="23" t="s">
        <v>90</v>
      </c>
      <c r="F73" s="23" t="s">
        <v>94</v>
      </c>
      <c r="G73" s="23" t="s">
        <v>102</v>
      </c>
      <c r="H73" s="23">
        <v>2024</v>
      </c>
      <c r="I73" s="23" t="s">
        <v>28</v>
      </c>
      <c r="J73" s="24" t="s">
        <v>254</v>
      </c>
      <c r="K73" s="24" t="s">
        <v>104</v>
      </c>
      <c r="L73" s="23" t="s">
        <v>31</v>
      </c>
      <c r="M73" s="23" t="s">
        <v>273</v>
      </c>
      <c r="N73" s="4" t="str">
        <f>VLOOKUP(Tabla2[[#This Row],[No. ECO]],Hoja1!A:D,2,FALSE)</f>
        <v>GM-</v>
      </c>
      <c r="O73" s="4" t="s">
        <v>33</v>
      </c>
      <c r="P73" s="44"/>
      <c r="Q73" s="4"/>
    </row>
    <row r="74" spans="1:17" x14ac:dyDescent="0.3">
      <c r="A74" s="4" t="str">
        <f>Tabla2[[#This Row],[TIPO2]]&amp;" "&amp;Tabla2[[#This Row],[ESTRUCTURA]]</f>
        <v>QUINTA BAJA 2.0 COTTRELL</v>
      </c>
      <c r="B74" s="22" t="s">
        <v>274</v>
      </c>
      <c r="C74" s="23" t="s">
        <v>275</v>
      </c>
      <c r="D74" s="23" t="s">
        <v>93</v>
      </c>
      <c r="E74" s="23" t="s">
        <v>90</v>
      </c>
      <c r="F74" s="23" t="s">
        <v>94</v>
      </c>
      <c r="G74" s="23" t="s">
        <v>102</v>
      </c>
      <c r="H74" s="23">
        <v>2024</v>
      </c>
      <c r="I74" s="23" t="s">
        <v>28</v>
      </c>
      <c r="J74" s="24" t="s">
        <v>254</v>
      </c>
      <c r="K74" s="24" t="s">
        <v>104</v>
      </c>
      <c r="L74" s="23" t="s">
        <v>31</v>
      </c>
      <c r="M74" s="23" t="s">
        <v>276</v>
      </c>
      <c r="N74" s="4" t="str">
        <f>VLOOKUP(Tabla2[[#This Row],[No. ECO]],Hoja1!A:D,2,FALSE)</f>
        <v>GM-</v>
      </c>
      <c r="O74" s="4" t="s">
        <v>41</v>
      </c>
      <c r="P74" s="44">
        <v>45610</v>
      </c>
      <c r="Q74" s="4" t="s">
        <v>42</v>
      </c>
    </row>
    <row r="75" spans="1:17" x14ac:dyDescent="0.3">
      <c r="A75" s="4" t="str">
        <f>Tabla2[[#This Row],[TIPO2]]&amp;" "&amp;Tabla2[[#This Row],[ESTRUCTURA]]</f>
        <v>QUINTA BAJA 2.0 COTTRELL</v>
      </c>
      <c r="B75" s="22" t="s">
        <v>277</v>
      </c>
      <c r="C75" s="23" t="s">
        <v>278</v>
      </c>
      <c r="D75" s="23" t="s">
        <v>93</v>
      </c>
      <c r="E75" s="23" t="s">
        <v>90</v>
      </c>
      <c r="F75" s="23" t="s">
        <v>94</v>
      </c>
      <c r="G75" s="23" t="s">
        <v>102</v>
      </c>
      <c r="H75" s="23">
        <v>2024</v>
      </c>
      <c r="I75" s="23" t="s">
        <v>28</v>
      </c>
      <c r="J75" s="24" t="s">
        <v>254</v>
      </c>
      <c r="K75" s="24" t="s">
        <v>104</v>
      </c>
      <c r="L75" s="23" t="s">
        <v>31</v>
      </c>
      <c r="M75" s="23" t="s">
        <v>279</v>
      </c>
      <c r="N75" s="4" t="str">
        <f>VLOOKUP(Tabla2[[#This Row],[No. ECO]],Hoja1!A:D,2,FALSE)</f>
        <v>GM-</v>
      </c>
      <c r="O75" s="4" t="s">
        <v>41</v>
      </c>
      <c r="P75" s="44">
        <v>45518</v>
      </c>
      <c r="Q75" s="4" t="s">
        <v>47</v>
      </c>
    </row>
    <row r="76" spans="1:17" x14ac:dyDescent="0.3">
      <c r="A76" s="4" t="str">
        <f>Tabla2[[#This Row],[TIPO2]]&amp;" "&amp;Tabla2[[#This Row],[ESTRUCTURA]]</f>
        <v>QUINTA BAJA 2.0 COTTRELL</v>
      </c>
      <c r="B76" s="22" t="s">
        <v>280</v>
      </c>
      <c r="C76" s="23" t="s">
        <v>281</v>
      </c>
      <c r="D76" s="23" t="s">
        <v>93</v>
      </c>
      <c r="E76" s="23" t="s">
        <v>90</v>
      </c>
      <c r="F76" s="23" t="s">
        <v>94</v>
      </c>
      <c r="G76" s="23" t="s">
        <v>102</v>
      </c>
      <c r="H76" s="23">
        <v>2024</v>
      </c>
      <c r="I76" s="23" t="s">
        <v>28</v>
      </c>
      <c r="J76" s="24" t="s">
        <v>254</v>
      </c>
      <c r="K76" s="24" t="s">
        <v>104</v>
      </c>
      <c r="L76" s="23" t="s">
        <v>31</v>
      </c>
      <c r="M76" s="23" t="s">
        <v>282</v>
      </c>
      <c r="N76" s="4" t="str">
        <f>VLOOKUP(Tabla2[[#This Row],[No. ECO]],Hoja1!A:D,2,FALSE)</f>
        <v>GM-</v>
      </c>
      <c r="O76" s="4" t="s">
        <v>41</v>
      </c>
      <c r="P76" s="44">
        <v>45609</v>
      </c>
      <c r="Q76" s="4" t="s">
        <v>42</v>
      </c>
    </row>
    <row r="77" spans="1:17" x14ac:dyDescent="0.3">
      <c r="A77" s="4" t="str">
        <f>Tabla2[[#This Row],[TIPO2]]&amp;" "&amp;Tabla2[[#This Row],[ESTRUCTURA]]</f>
        <v>QUINTA BAJA 2.0 COTTRELL</v>
      </c>
      <c r="B77" s="22" t="s">
        <v>283</v>
      </c>
      <c r="C77" s="23" t="s">
        <v>284</v>
      </c>
      <c r="D77" s="23" t="s">
        <v>93</v>
      </c>
      <c r="E77" s="23" t="s">
        <v>90</v>
      </c>
      <c r="F77" s="23" t="s">
        <v>94</v>
      </c>
      <c r="G77" s="23" t="s">
        <v>102</v>
      </c>
      <c r="H77" s="23">
        <v>2024</v>
      </c>
      <c r="I77" s="23" t="s">
        <v>28</v>
      </c>
      <c r="J77" s="24" t="s">
        <v>254</v>
      </c>
      <c r="K77" s="24" t="s">
        <v>104</v>
      </c>
      <c r="L77" s="23" t="s">
        <v>31</v>
      </c>
      <c r="M77" s="23" t="s">
        <v>285</v>
      </c>
      <c r="N77" s="4" t="str">
        <f>VLOOKUP(Tabla2[[#This Row],[No. ECO]],Hoja1!A:D,2,FALSE)</f>
        <v>GM-</v>
      </c>
      <c r="O77" s="4" t="s">
        <v>41</v>
      </c>
      <c r="P77" s="44">
        <v>45610</v>
      </c>
      <c r="Q77" s="4" t="s">
        <v>42</v>
      </c>
    </row>
    <row r="78" spans="1:17" x14ac:dyDescent="0.3">
      <c r="A78" s="4" t="str">
        <f>Tabla2[[#This Row],[TIPO2]]&amp;" "&amp;Tabla2[[#This Row],[ESTRUCTURA]]</f>
        <v>QUINTA BAJA 2.0 COTTRELL</v>
      </c>
      <c r="B78" s="22" t="s">
        <v>286</v>
      </c>
      <c r="C78" s="23" t="s">
        <v>287</v>
      </c>
      <c r="D78" s="23" t="s">
        <v>93</v>
      </c>
      <c r="E78" s="23" t="s">
        <v>90</v>
      </c>
      <c r="F78" s="23" t="s">
        <v>94</v>
      </c>
      <c r="G78" s="23" t="s">
        <v>102</v>
      </c>
      <c r="H78" s="23">
        <v>2024</v>
      </c>
      <c r="I78" s="23" t="s">
        <v>28</v>
      </c>
      <c r="J78" s="24" t="s">
        <v>254</v>
      </c>
      <c r="K78" s="24" t="s">
        <v>104</v>
      </c>
      <c r="L78" s="23" t="s">
        <v>31</v>
      </c>
      <c r="M78" s="23" t="s">
        <v>288</v>
      </c>
      <c r="N78" s="4" t="str">
        <f>VLOOKUP(Tabla2[[#This Row],[No. ECO]],Hoja1!A:D,2,FALSE)</f>
        <v>GM-</v>
      </c>
      <c r="O78" s="4" t="s">
        <v>41</v>
      </c>
      <c r="P78" s="44">
        <v>45572</v>
      </c>
      <c r="Q78" s="4" t="s">
        <v>42</v>
      </c>
    </row>
    <row r="79" spans="1:17" x14ac:dyDescent="0.3">
      <c r="A79" s="4" t="str">
        <f>Tabla2[[#This Row],[TIPO2]]&amp;" "&amp;Tabla2[[#This Row],[ESTRUCTURA]]</f>
        <v>QUINTA BAJA 2.0 COTTRELL</v>
      </c>
      <c r="B79" s="22" t="s">
        <v>289</v>
      </c>
      <c r="C79" s="23" t="s">
        <v>290</v>
      </c>
      <c r="D79" s="23" t="s">
        <v>93</v>
      </c>
      <c r="E79" s="23" t="s">
        <v>90</v>
      </c>
      <c r="F79" s="23" t="s">
        <v>94</v>
      </c>
      <c r="G79" s="23" t="s">
        <v>102</v>
      </c>
      <c r="H79" s="23">
        <v>2024</v>
      </c>
      <c r="I79" s="23" t="s">
        <v>28</v>
      </c>
      <c r="J79" s="24" t="s">
        <v>254</v>
      </c>
      <c r="K79" s="24" t="s">
        <v>104</v>
      </c>
      <c r="L79" s="23" t="s">
        <v>31</v>
      </c>
      <c r="M79" s="23" t="s">
        <v>291</v>
      </c>
      <c r="N79" s="4" t="str">
        <f>VLOOKUP(Tabla2[[#This Row],[No. ECO]],Hoja1!A:D,2,FALSE)</f>
        <v>GM-</v>
      </c>
      <c r="O79" s="4" t="s">
        <v>33</v>
      </c>
      <c r="P79" s="44"/>
      <c r="Q79" s="4"/>
    </row>
    <row r="80" spans="1:17" x14ac:dyDescent="0.3">
      <c r="A80" s="4" t="str">
        <f>Tabla2[[#This Row],[TIPO2]]&amp;" "&amp;Tabla2[[#This Row],[ESTRUCTURA]]</f>
        <v>QUINTA BAJA 2.0 COTTRELL</v>
      </c>
      <c r="B80" s="22" t="s">
        <v>292</v>
      </c>
      <c r="C80" s="23" t="s">
        <v>293</v>
      </c>
      <c r="D80" s="23" t="s">
        <v>93</v>
      </c>
      <c r="E80" s="23" t="s">
        <v>90</v>
      </c>
      <c r="F80" s="23" t="s">
        <v>94</v>
      </c>
      <c r="G80" s="23" t="s">
        <v>102</v>
      </c>
      <c r="H80" s="23">
        <v>2024</v>
      </c>
      <c r="I80" s="23" t="s">
        <v>28</v>
      </c>
      <c r="J80" s="24" t="s">
        <v>254</v>
      </c>
      <c r="K80" s="24" t="s">
        <v>104</v>
      </c>
      <c r="L80" s="23" t="s">
        <v>31</v>
      </c>
      <c r="M80" s="23" t="s">
        <v>294</v>
      </c>
      <c r="N80" s="4" t="str">
        <f>VLOOKUP(Tabla2[[#This Row],[No. ECO]],Hoja1!A:D,2,FALSE)</f>
        <v>GM-</v>
      </c>
      <c r="O80" s="4" t="s">
        <v>41</v>
      </c>
      <c r="P80" s="44">
        <v>45588</v>
      </c>
      <c r="Q80" s="4" t="s">
        <v>42</v>
      </c>
    </row>
    <row r="81" spans="1:17" x14ac:dyDescent="0.3">
      <c r="A81" s="4" t="str">
        <f>Tabla2[[#This Row],[TIPO2]]&amp;" "&amp;Tabla2[[#This Row],[ESTRUCTURA]]</f>
        <v>QUINTA BAJA 2.0 COTTRELL</v>
      </c>
      <c r="B81" s="22" t="s">
        <v>295</v>
      </c>
      <c r="C81" s="23" t="s">
        <v>296</v>
      </c>
      <c r="D81" s="23" t="s">
        <v>93</v>
      </c>
      <c r="E81" s="23" t="s">
        <v>90</v>
      </c>
      <c r="F81" s="23" t="s">
        <v>94</v>
      </c>
      <c r="G81" s="23" t="s">
        <v>102</v>
      </c>
      <c r="H81" s="23">
        <v>2024</v>
      </c>
      <c r="I81" s="23" t="s">
        <v>28</v>
      </c>
      <c r="J81" s="24" t="s">
        <v>254</v>
      </c>
      <c r="K81" s="24" t="s">
        <v>104</v>
      </c>
      <c r="L81" s="23" t="s">
        <v>31</v>
      </c>
      <c r="M81" s="23" t="s">
        <v>297</v>
      </c>
      <c r="N81" s="4" t="str">
        <f>VLOOKUP(Tabla2[[#This Row],[No. ECO]],Hoja1!A:D,2,FALSE)</f>
        <v>GM-</v>
      </c>
      <c r="O81" s="4" t="s">
        <v>33</v>
      </c>
      <c r="P81" s="44"/>
      <c r="Q81" s="4"/>
    </row>
    <row r="82" spans="1:17" x14ac:dyDescent="0.3">
      <c r="A82" s="4" t="str">
        <f>Tabla2[[#This Row],[TIPO2]]&amp;" "&amp;Tabla2[[#This Row],[ESTRUCTURA]]</f>
        <v>QUINTA BAJA 2.0 COTTRELL</v>
      </c>
      <c r="B82" s="22" t="s">
        <v>298</v>
      </c>
      <c r="C82" s="23" t="s">
        <v>299</v>
      </c>
      <c r="D82" s="23" t="s">
        <v>93</v>
      </c>
      <c r="E82" s="23" t="s">
        <v>90</v>
      </c>
      <c r="F82" s="23" t="s">
        <v>94</v>
      </c>
      <c r="G82" s="23" t="s">
        <v>102</v>
      </c>
      <c r="H82" s="23">
        <v>2024</v>
      </c>
      <c r="I82" s="23" t="s">
        <v>28</v>
      </c>
      <c r="J82" s="24" t="s">
        <v>254</v>
      </c>
      <c r="K82" s="24" t="s">
        <v>104</v>
      </c>
      <c r="L82" s="23" t="s">
        <v>31</v>
      </c>
      <c r="M82" s="23" t="s">
        <v>300</v>
      </c>
      <c r="N82" s="4" t="str">
        <f>VLOOKUP(Tabla2[[#This Row],[No. ECO]],Hoja1!A:D,2,FALSE)</f>
        <v>GM-</v>
      </c>
      <c r="O82" s="4" t="s">
        <v>33</v>
      </c>
      <c r="P82" s="44"/>
      <c r="Q82" s="4"/>
    </row>
    <row r="83" spans="1:17" x14ac:dyDescent="0.3">
      <c r="A83" s="4" t="str">
        <f>Tabla2[[#This Row],[TIPO2]]&amp;" "&amp;Tabla2[[#This Row],[ESTRUCTURA]]</f>
        <v>QUINTA BAJA 2.0 COTTRELL</v>
      </c>
      <c r="B83" s="22" t="s">
        <v>301</v>
      </c>
      <c r="C83" s="23" t="s">
        <v>302</v>
      </c>
      <c r="D83" s="23" t="s">
        <v>93</v>
      </c>
      <c r="E83" s="23" t="s">
        <v>90</v>
      </c>
      <c r="F83" s="23" t="s">
        <v>94</v>
      </c>
      <c r="G83" s="23" t="s">
        <v>102</v>
      </c>
      <c r="H83" s="23">
        <v>2024</v>
      </c>
      <c r="I83" s="23" t="s">
        <v>28</v>
      </c>
      <c r="J83" s="24" t="s">
        <v>254</v>
      </c>
      <c r="K83" s="24" t="s">
        <v>104</v>
      </c>
      <c r="L83" s="23" t="s">
        <v>31</v>
      </c>
      <c r="M83" s="23" t="s">
        <v>303</v>
      </c>
      <c r="N83" s="4" t="str">
        <f>VLOOKUP(Tabla2[[#This Row],[No. ECO]],Hoja1!A:D,2,FALSE)</f>
        <v>GM-</v>
      </c>
      <c r="O83" s="4" t="s">
        <v>41</v>
      </c>
      <c r="P83" s="44">
        <v>45587</v>
      </c>
      <c r="Q83" s="4" t="s">
        <v>42</v>
      </c>
    </row>
    <row r="84" spans="1:17" x14ac:dyDescent="0.3">
      <c r="A84" s="4" t="str">
        <f>Tabla2[[#This Row],[TIPO2]]&amp;" "&amp;Tabla2[[#This Row],[ESTRUCTURA]]</f>
        <v>C3 JAES</v>
      </c>
      <c r="B84" s="22" t="s">
        <v>304</v>
      </c>
      <c r="C84" s="23" t="s">
        <v>305</v>
      </c>
      <c r="D84" s="23" t="s">
        <v>93</v>
      </c>
      <c r="E84" s="23" t="s">
        <v>90</v>
      </c>
      <c r="F84" s="23" t="s">
        <v>94</v>
      </c>
      <c r="G84" s="23" t="s">
        <v>102</v>
      </c>
      <c r="H84" s="23">
        <v>2024</v>
      </c>
      <c r="I84" s="23" t="s">
        <v>306</v>
      </c>
      <c r="J84" s="24" t="s">
        <v>307</v>
      </c>
      <c r="K84" s="24" t="s">
        <v>306</v>
      </c>
      <c r="L84" s="23" t="s">
        <v>31</v>
      </c>
      <c r="M84" s="23" t="s">
        <v>308</v>
      </c>
      <c r="N84" s="4" t="str">
        <f>VLOOKUP(Tabla2[[#This Row],[No. ECO]],Hoja1!A:D,2,FALSE)</f>
        <v>GM-</v>
      </c>
      <c r="O84" s="4" t="s">
        <v>33</v>
      </c>
      <c r="P84" s="44"/>
      <c r="Q84" s="4"/>
    </row>
    <row r="85" spans="1:17" x14ac:dyDescent="0.3">
      <c r="A85" s="4" t="str">
        <f>Tabla2[[#This Row],[TIPO2]]&amp;" "&amp;Tabla2[[#This Row],[ESTRUCTURA]]</f>
        <v>C3 JAES</v>
      </c>
      <c r="B85" s="22" t="s">
        <v>309</v>
      </c>
      <c r="C85" s="23" t="s">
        <v>310</v>
      </c>
      <c r="D85" s="23" t="s">
        <v>93</v>
      </c>
      <c r="E85" s="23" t="s">
        <v>90</v>
      </c>
      <c r="F85" s="23" t="s">
        <v>94</v>
      </c>
      <c r="G85" s="23" t="s">
        <v>102</v>
      </c>
      <c r="H85" s="23">
        <v>2024</v>
      </c>
      <c r="I85" s="23" t="s">
        <v>306</v>
      </c>
      <c r="J85" s="24" t="s">
        <v>307</v>
      </c>
      <c r="K85" s="24" t="s">
        <v>306</v>
      </c>
      <c r="L85" s="23" t="s">
        <v>31</v>
      </c>
      <c r="M85" s="23" t="s">
        <v>311</v>
      </c>
      <c r="N85" s="4" t="str">
        <f>VLOOKUP(Tabla2[[#This Row],[No. ECO]],Hoja1!A:D,2,FALSE)</f>
        <v>GM-</v>
      </c>
      <c r="O85" s="4" t="s">
        <v>41</v>
      </c>
      <c r="P85" s="44">
        <v>45610</v>
      </c>
      <c r="Q85" s="4" t="s">
        <v>42</v>
      </c>
    </row>
    <row r="86" spans="1:17" x14ac:dyDescent="0.3">
      <c r="A86" s="4" t="str">
        <f>Tabla2[[#This Row],[TIPO2]]&amp;" "&amp;Tabla2[[#This Row],[ESTRUCTURA]]</f>
        <v>C3 JAES</v>
      </c>
      <c r="B86" s="22" t="s">
        <v>312</v>
      </c>
      <c r="C86" s="23" t="s">
        <v>313</v>
      </c>
      <c r="D86" s="23" t="s">
        <v>93</v>
      </c>
      <c r="E86" s="23" t="s">
        <v>90</v>
      </c>
      <c r="F86" s="23" t="s">
        <v>94</v>
      </c>
      <c r="G86" s="23" t="s">
        <v>102</v>
      </c>
      <c r="H86" s="23">
        <v>2024</v>
      </c>
      <c r="I86" s="23" t="s">
        <v>306</v>
      </c>
      <c r="J86" s="24" t="s">
        <v>307</v>
      </c>
      <c r="K86" s="24" t="s">
        <v>306</v>
      </c>
      <c r="L86" s="23" t="s">
        <v>31</v>
      </c>
      <c r="M86" s="23" t="s">
        <v>314</v>
      </c>
      <c r="N86" s="4" t="str">
        <f>VLOOKUP(Tabla2[[#This Row],[No. ECO]],Hoja1!A:D,2,FALSE)</f>
        <v>GM-</v>
      </c>
      <c r="O86" s="4" t="s">
        <v>41</v>
      </c>
      <c r="P86" s="44">
        <v>45572</v>
      </c>
      <c r="Q86" s="4" t="s">
        <v>42</v>
      </c>
    </row>
    <row r="87" spans="1:17" ht="15.9" customHeight="1" x14ac:dyDescent="0.3">
      <c r="A87" s="4" t="str">
        <f>Tabla2[[#This Row],[TIPO2]]&amp;" "&amp;Tabla2[[#This Row],[ESTRUCTURA]]</f>
        <v>C3 JAES</v>
      </c>
      <c r="B87" s="22" t="s">
        <v>315</v>
      </c>
      <c r="C87" s="23" t="s">
        <v>316</v>
      </c>
      <c r="D87" s="23" t="s">
        <v>93</v>
      </c>
      <c r="E87" s="23" t="s">
        <v>90</v>
      </c>
      <c r="F87" s="23" t="s">
        <v>94</v>
      </c>
      <c r="G87" s="23" t="s">
        <v>102</v>
      </c>
      <c r="H87" s="23">
        <v>2024</v>
      </c>
      <c r="I87" s="23" t="s">
        <v>306</v>
      </c>
      <c r="J87" s="24" t="s">
        <v>307</v>
      </c>
      <c r="K87" s="24" t="s">
        <v>306</v>
      </c>
      <c r="L87" s="23" t="s">
        <v>31</v>
      </c>
      <c r="M87" s="23" t="s">
        <v>317</v>
      </c>
      <c r="N87" s="4" t="str">
        <f>VLOOKUP(Tabla2[[#This Row],[No. ECO]],Hoja1!A:D,2,FALSE)</f>
        <v>GM-</v>
      </c>
      <c r="O87" s="4" t="s">
        <v>41</v>
      </c>
      <c r="P87" s="44">
        <v>45610</v>
      </c>
      <c r="Q87" s="4" t="s">
        <v>42</v>
      </c>
    </row>
    <row r="88" spans="1:17" x14ac:dyDescent="0.3">
      <c r="A88" s="4" t="str">
        <f>Tabla2[[#This Row],[TIPO2]]&amp;" "&amp;Tabla2[[#This Row],[ESTRUCTURA]]</f>
        <v>C3 JAES</v>
      </c>
      <c r="B88" s="22" t="s">
        <v>318</v>
      </c>
      <c r="C88" s="23" t="s">
        <v>319</v>
      </c>
      <c r="D88" s="23" t="s">
        <v>93</v>
      </c>
      <c r="E88" s="23" t="s">
        <v>90</v>
      </c>
      <c r="F88" s="23" t="s">
        <v>94</v>
      </c>
      <c r="G88" s="23" t="s">
        <v>102</v>
      </c>
      <c r="H88" s="23">
        <v>2024</v>
      </c>
      <c r="I88" s="23" t="s">
        <v>306</v>
      </c>
      <c r="J88" s="24" t="s">
        <v>307</v>
      </c>
      <c r="K88" s="24" t="s">
        <v>306</v>
      </c>
      <c r="L88" s="23" t="s">
        <v>31</v>
      </c>
      <c r="M88" s="23" t="s">
        <v>320</v>
      </c>
      <c r="N88" s="4" t="str">
        <f>VLOOKUP(Tabla2[[#This Row],[No. ECO]],Hoja1!A:D,2,FALSE)</f>
        <v>GM-</v>
      </c>
      <c r="O88" s="4" t="s">
        <v>41</v>
      </c>
      <c r="P88" s="44">
        <v>45552</v>
      </c>
      <c r="Q88" s="4" t="s">
        <v>47</v>
      </c>
    </row>
    <row r="89" spans="1:17" x14ac:dyDescent="0.3">
      <c r="A89" s="4" t="str">
        <f>Tabla2[[#This Row],[TIPO2]]&amp;" "&amp;Tabla2[[#This Row],[ESTRUCTURA]]</f>
        <v>C3 JAES</v>
      </c>
      <c r="B89" s="22" t="s">
        <v>321</v>
      </c>
      <c r="C89" s="23" t="s">
        <v>322</v>
      </c>
      <c r="D89" s="23" t="s">
        <v>93</v>
      </c>
      <c r="E89" s="23" t="s">
        <v>90</v>
      </c>
      <c r="F89" s="23" t="s">
        <v>94</v>
      </c>
      <c r="G89" s="23" t="s">
        <v>102</v>
      </c>
      <c r="H89" s="23">
        <v>2024</v>
      </c>
      <c r="I89" s="23" t="s">
        <v>306</v>
      </c>
      <c r="J89" s="24" t="s">
        <v>307</v>
      </c>
      <c r="K89" s="24" t="s">
        <v>306</v>
      </c>
      <c r="L89" s="23" t="s">
        <v>31</v>
      </c>
      <c r="M89" s="23" t="s">
        <v>323</v>
      </c>
      <c r="N89" s="4" t="str">
        <f>VLOOKUP(Tabla2[[#This Row],[No. ECO]],Hoja1!A:D,2,FALSE)</f>
        <v>GM-</v>
      </c>
      <c r="O89" s="4" t="s">
        <v>41</v>
      </c>
      <c r="P89" s="44">
        <v>45611</v>
      </c>
      <c r="Q89" s="4" t="s">
        <v>42</v>
      </c>
    </row>
    <row r="90" spans="1:17" x14ac:dyDescent="0.3">
      <c r="A90" s="4" t="str">
        <f>Tabla2[[#This Row],[TIPO2]]&amp;" "&amp;Tabla2[[#This Row],[ESTRUCTURA]]</f>
        <v>C3 JAES</v>
      </c>
      <c r="B90" s="22" t="s">
        <v>324</v>
      </c>
      <c r="C90" s="23" t="s">
        <v>325</v>
      </c>
      <c r="D90" s="23" t="s">
        <v>93</v>
      </c>
      <c r="E90" s="23" t="s">
        <v>90</v>
      </c>
      <c r="F90" s="23" t="s">
        <v>94</v>
      </c>
      <c r="G90" s="23" t="s">
        <v>102</v>
      </c>
      <c r="H90" s="23">
        <v>2024</v>
      </c>
      <c r="I90" s="23" t="s">
        <v>306</v>
      </c>
      <c r="J90" s="24" t="s">
        <v>307</v>
      </c>
      <c r="K90" s="24" t="s">
        <v>306</v>
      </c>
      <c r="L90" s="23" t="s">
        <v>31</v>
      </c>
      <c r="M90" s="23" t="s">
        <v>326</v>
      </c>
      <c r="N90" s="4" t="str">
        <f>VLOOKUP(Tabla2[[#This Row],[No. ECO]],Hoja1!A:D,2,FALSE)</f>
        <v>GM-</v>
      </c>
      <c r="O90" s="4" t="s">
        <v>41</v>
      </c>
      <c r="P90" s="44">
        <v>45598</v>
      </c>
      <c r="Q90" s="4" t="s">
        <v>42</v>
      </c>
    </row>
    <row r="91" spans="1:17" x14ac:dyDescent="0.3">
      <c r="A91" s="4" t="str">
        <f>Tabla2[[#This Row],[TIPO2]]&amp;" "&amp;Tabla2[[#This Row],[ESTRUCTURA]]</f>
        <v>C3 JAES</v>
      </c>
      <c r="B91" s="22" t="s">
        <v>327</v>
      </c>
      <c r="C91" s="23" t="s">
        <v>328</v>
      </c>
      <c r="D91" s="23" t="s">
        <v>134</v>
      </c>
      <c r="E91" s="23" t="s">
        <v>90</v>
      </c>
      <c r="F91" s="23" t="s">
        <v>94</v>
      </c>
      <c r="G91" s="23" t="s">
        <v>329</v>
      </c>
      <c r="H91" s="23">
        <v>2024</v>
      </c>
      <c r="I91" s="23" t="s">
        <v>306</v>
      </c>
      <c r="J91" s="24" t="s">
        <v>307</v>
      </c>
      <c r="K91" s="24" t="s">
        <v>306</v>
      </c>
      <c r="L91" s="23" t="s">
        <v>31</v>
      </c>
      <c r="M91" s="23" t="s">
        <v>330</v>
      </c>
      <c r="N91" s="4" t="str">
        <f>VLOOKUP(Tabla2[[#This Row],[No. ECO]],Hoja1!A:D,2,FALSE)</f>
        <v>BMW-</v>
      </c>
      <c r="O91" s="4" t="s">
        <v>33</v>
      </c>
      <c r="P91" s="44"/>
      <c r="Q91" s="4"/>
    </row>
    <row r="92" spans="1:17" x14ac:dyDescent="0.3">
      <c r="A92" s="4" t="str">
        <f>Tabla2[[#This Row],[TIPO2]]&amp;" "&amp;Tabla2[[#This Row],[ESTRUCTURA]]</f>
        <v>C3 JAES</v>
      </c>
      <c r="B92" s="22" t="s">
        <v>331</v>
      </c>
      <c r="C92" s="23" t="s">
        <v>332</v>
      </c>
      <c r="D92" s="23" t="s">
        <v>134</v>
      </c>
      <c r="E92" s="23" t="s">
        <v>90</v>
      </c>
      <c r="F92" s="23" t="s">
        <v>94</v>
      </c>
      <c r="G92" s="23" t="s">
        <v>329</v>
      </c>
      <c r="H92" s="23">
        <v>2024</v>
      </c>
      <c r="I92" s="23" t="s">
        <v>306</v>
      </c>
      <c r="J92" s="24" t="s">
        <v>307</v>
      </c>
      <c r="K92" s="24" t="s">
        <v>306</v>
      </c>
      <c r="L92" s="23" t="s">
        <v>31</v>
      </c>
      <c r="M92" s="23" t="s">
        <v>333</v>
      </c>
      <c r="N92" s="4" t="str">
        <f>VLOOKUP(Tabla2[[#This Row],[No. ECO]],Hoja1!A:D,2,FALSE)</f>
        <v>BMW-</v>
      </c>
      <c r="O92" s="4" t="s">
        <v>41</v>
      </c>
      <c r="P92" s="44">
        <v>45611</v>
      </c>
      <c r="Q92" s="4" t="s">
        <v>42</v>
      </c>
    </row>
    <row r="93" spans="1:17" x14ac:dyDescent="0.3">
      <c r="A93" s="4" t="str">
        <f>Tabla2[[#This Row],[TIPO2]]&amp;" "&amp;Tabla2[[#This Row],[ESTRUCTURA]]</f>
        <v>C3 JAES</v>
      </c>
      <c r="B93" s="22" t="s">
        <v>334</v>
      </c>
      <c r="C93" s="23" t="s">
        <v>335</v>
      </c>
      <c r="D93" s="23" t="s">
        <v>134</v>
      </c>
      <c r="E93" s="23" t="s">
        <v>90</v>
      </c>
      <c r="F93" s="23" t="s">
        <v>94</v>
      </c>
      <c r="G93" s="23" t="s">
        <v>329</v>
      </c>
      <c r="H93" s="23">
        <v>2024</v>
      </c>
      <c r="I93" s="23" t="s">
        <v>306</v>
      </c>
      <c r="J93" s="24" t="s">
        <v>307</v>
      </c>
      <c r="K93" s="24" t="s">
        <v>306</v>
      </c>
      <c r="L93" s="23" t="s">
        <v>31</v>
      </c>
      <c r="M93" s="23" t="s">
        <v>336</v>
      </c>
      <c r="N93" s="4" t="str">
        <f>VLOOKUP(Tabla2[[#This Row],[No. ECO]],Hoja1!A:D,2,FALSE)</f>
        <v>BMW-</v>
      </c>
      <c r="O93" s="4" t="s">
        <v>33</v>
      </c>
      <c r="P93" s="44"/>
      <c r="Q93" s="4"/>
    </row>
    <row r="94" spans="1:17" x14ac:dyDescent="0.3">
      <c r="A94" s="4" t="str">
        <f>Tabla2[[#This Row],[TIPO2]]&amp;" "&amp;Tabla2[[#This Row],[ESTRUCTURA]]</f>
        <v>C3 JAES</v>
      </c>
      <c r="B94" s="22" t="s">
        <v>337</v>
      </c>
      <c r="C94" s="23" t="s">
        <v>338</v>
      </c>
      <c r="D94" s="23" t="s">
        <v>134</v>
      </c>
      <c r="E94" s="23" t="s">
        <v>90</v>
      </c>
      <c r="F94" s="23" t="s">
        <v>94</v>
      </c>
      <c r="G94" s="23" t="s">
        <v>329</v>
      </c>
      <c r="H94" s="23">
        <v>2024</v>
      </c>
      <c r="I94" s="23" t="s">
        <v>306</v>
      </c>
      <c r="J94" s="24" t="s">
        <v>307</v>
      </c>
      <c r="K94" s="24" t="s">
        <v>306</v>
      </c>
      <c r="L94" s="23" t="s">
        <v>31</v>
      </c>
      <c r="M94" s="23" t="s">
        <v>339</v>
      </c>
      <c r="N94" s="4" t="str">
        <f>VLOOKUP(Tabla2[[#This Row],[No. ECO]],Hoja1!A:D,2,FALSE)</f>
        <v>GM-</v>
      </c>
      <c r="O94" s="4" t="s">
        <v>41</v>
      </c>
      <c r="P94" s="44">
        <v>45541</v>
      </c>
      <c r="Q94" s="4" t="s">
        <v>47</v>
      </c>
    </row>
    <row r="95" spans="1:17" x14ac:dyDescent="0.3">
      <c r="A95" s="4" t="str">
        <f>Tabla2[[#This Row],[TIPO2]]&amp;" "&amp;Tabla2[[#This Row],[ESTRUCTURA]]</f>
        <v>C3 JAES</v>
      </c>
      <c r="B95" s="22" t="s">
        <v>340</v>
      </c>
      <c r="C95" s="23" t="s">
        <v>341</v>
      </c>
      <c r="D95" s="23" t="s">
        <v>134</v>
      </c>
      <c r="E95" s="23" t="s">
        <v>90</v>
      </c>
      <c r="F95" s="23" t="s">
        <v>94</v>
      </c>
      <c r="G95" s="23" t="s">
        <v>329</v>
      </c>
      <c r="H95" s="23">
        <v>2024</v>
      </c>
      <c r="I95" s="23" t="s">
        <v>306</v>
      </c>
      <c r="J95" s="24" t="s">
        <v>307</v>
      </c>
      <c r="K95" s="24" t="s">
        <v>306</v>
      </c>
      <c r="L95" s="23" t="s">
        <v>31</v>
      </c>
      <c r="M95" s="23" t="s">
        <v>342</v>
      </c>
      <c r="N95" s="4" t="str">
        <f>VLOOKUP(Tabla2[[#This Row],[No. ECO]],Hoja1!A:D,2,FALSE)</f>
        <v>BMW-</v>
      </c>
      <c r="O95" s="4" t="s">
        <v>33</v>
      </c>
      <c r="P95" s="44"/>
      <c r="Q95" s="4"/>
    </row>
    <row r="96" spans="1:17" x14ac:dyDescent="0.3">
      <c r="A96" s="4" t="str">
        <f>Tabla2[[#This Row],[TIPO2]]&amp;" "&amp;Tabla2[[#This Row],[ESTRUCTURA]]</f>
        <v>C3 JAES</v>
      </c>
      <c r="B96" s="22" t="s">
        <v>343</v>
      </c>
      <c r="C96" s="23" t="s">
        <v>344</v>
      </c>
      <c r="D96" s="23" t="s">
        <v>134</v>
      </c>
      <c r="E96" s="23" t="s">
        <v>90</v>
      </c>
      <c r="F96" s="23" t="s">
        <v>94</v>
      </c>
      <c r="G96" s="23" t="s">
        <v>329</v>
      </c>
      <c r="H96" s="23">
        <v>2024</v>
      </c>
      <c r="I96" s="23" t="s">
        <v>306</v>
      </c>
      <c r="J96" s="24" t="s">
        <v>307</v>
      </c>
      <c r="K96" s="24" t="s">
        <v>306</v>
      </c>
      <c r="L96" s="23" t="s">
        <v>31</v>
      </c>
      <c r="M96" s="23" t="s">
        <v>345</v>
      </c>
      <c r="N96" s="4" t="str">
        <f>VLOOKUP(Tabla2[[#This Row],[No. ECO]],Hoja1!A:D,2,FALSE)</f>
        <v>GM-</v>
      </c>
      <c r="O96" s="4" t="s">
        <v>41</v>
      </c>
      <c r="P96" s="44">
        <v>45512</v>
      </c>
      <c r="Q96" s="4" t="s">
        <v>47</v>
      </c>
    </row>
    <row r="97" spans="1:17" x14ac:dyDescent="0.3">
      <c r="A97" s="4" t="str">
        <f>Tabla2[[#This Row],[TIPO2]]&amp;" "&amp;Tabla2[[#This Row],[ESTRUCTURA]]</f>
        <v>C3 JAES</v>
      </c>
      <c r="B97" s="22" t="s">
        <v>346</v>
      </c>
      <c r="C97" s="23" t="s">
        <v>347</v>
      </c>
      <c r="D97" s="23" t="s">
        <v>134</v>
      </c>
      <c r="E97" s="23" t="s">
        <v>90</v>
      </c>
      <c r="F97" s="23" t="s">
        <v>94</v>
      </c>
      <c r="G97" s="23" t="s">
        <v>329</v>
      </c>
      <c r="H97" s="23">
        <v>2024</v>
      </c>
      <c r="I97" s="23" t="s">
        <v>306</v>
      </c>
      <c r="J97" s="24" t="s">
        <v>307</v>
      </c>
      <c r="K97" s="24" t="s">
        <v>306</v>
      </c>
      <c r="L97" s="23" t="s">
        <v>31</v>
      </c>
      <c r="M97" s="23" t="s">
        <v>348</v>
      </c>
      <c r="N97" s="4" t="str">
        <f>VLOOKUP(Tabla2[[#This Row],[No. ECO]],Hoja1!A:D,2,FALSE)</f>
        <v>GM-</v>
      </c>
      <c r="O97" s="4" t="s">
        <v>33</v>
      </c>
      <c r="P97" s="44"/>
      <c r="Q97" s="4"/>
    </row>
    <row r="98" spans="1:17" x14ac:dyDescent="0.3">
      <c r="A98" s="4" t="str">
        <f>Tabla2[[#This Row],[TIPO2]]&amp;" "&amp;Tabla2[[#This Row],[ESTRUCTURA]]</f>
        <v>QUINTA BAJA 2.0 COTTRELL</v>
      </c>
      <c r="B98" s="22" t="s">
        <v>349</v>
      </c>
      <c r="C98" s="23" t="s">
        <v>350</v>
      </c>
      <c r="D98" s="23" t="s">
        <v>93</v>
      </c>
      <c r="E98" s="23" t="s">
        <v>90</v>
      </c>
      <c r="F98" s="23" t="s">
        <v>94</v>
      </c>
      <c r="G98" s="23" t="s">
        <v>102</v>
      </c>
      <c r="H98" s="23">
        <v>2024</v>
      </c>
      <c r="I98" s="23" t="s">
        <v>28</v>
      </c>
      <c r="J98" s="24" t="s">
        <v>254</v>
      </c>
      <c r="K98" s="24" t="s">
        <v>104</v>
      </c>
      <c r="L98" s="23" t="s">
        <v>31</v>
      </c>
      <c r="M98" s="23" t="s">
        <v>351</v>
      </c>
      <c r="N98" s="4" t="str">
        <f>VLOOKUP(Tabla2[[#This Row],[No. ECO]],Hoja1!A:D,2,FALSE)</f>
        <v>GM-</v>
      </c>
      <c r="O98" s="4" t="s">
        <v>33</v>
      </c>
      <c r="P98" s="44"/>
      <c r="Q98" s="4"/>
    </row>
    <row r="99" spans="1:17" x14ac:dyDescent="0.3">
      <c r="A99" s="4" t="str">
        <f>Tabla2[[#This Row],[TIPO2]]&amp;" "&amp;Tabla2[[#This Row],[ESTRUCTURA]]</f>
        <v>QUINTA BAJA 2.0 COTTRELL</v>
      </c>
      <c r="B99" s="22" t="s">
        <v>352</v>
      </c>
      <c r="C99" s="23" t="s">
        <v>353</v>
      </c>
      <c r="D99" s="23" t="s">
        <v>93</v>
      </c>
      <c r="E99" s="23" t="s">
        <v>90</v>
      </c>
      <c r="F99" s="23" t="s">
        <v>94</v>
      </c>
      <c r="G99" s="23" t="s">
        <v>102</v>
      </c>
      <c r="H99" s="23">
        <v>2024</v>
      </c>
      <c r="I99" s="23" t="s">
        <v>28</v>
      </c>
      <c r="J99" s="24" t="s">
        <v>254</v>
      </c>
      <c r="K99" s="24" t="s">
        <v>104</v>
      </c>
      <c r="L99" s="23" t="s">
        <v>31</v>
      </c>
      <c r="M99" s="23" t="s">
        <v>354</v>
      </c>
      <c r="N99" s="4" t="str">
        <f>VLOOKUP(Tabla2[[#This Row],[No. ECO]],Hoja1!A:D,2,FALSE)</f>
        <v>GM-</v>
      </c>
      <c r="O99" s="4" t="s">
        <v>41</v>
      </c>
      <c r="P99" s="44">
        <v>45609</v>
      </c>
      <c r="Q99" s="4" t="s">
        <v>42</v>
      </c>
    </row>
    <row r="100" spans="1:17" x14ac:dyDescent="0.3">
      <c r="A100" s="4" t="str">
        <f>Tabla2[[#This Row],[TIPO2]]&amp;" "&amp;Tabla2[[#This Row],[ESTRUCTURA]]</f>
        <v>QUINTA BAJA 2.0 COTTRELL</v>
      </c>
      <c r="B100" s="22" t="s">
        <v>355</v>
      </c>
      <c r="C100" s="23" t="s">
        <v>356</v>
      </c>
      <c r="D100" s="23" t="s">
        <v>93</v>
      </c>
      <c r="E100" s="23" t="s">
        <v>90</v>
      </c>
      <c r="F100" s="23" t="s">
        <v>94</v>
      </c>
      <c r="G100" s="23" t="s">
        <v>102</v>
      </c>
      <c r="H100" s="23">
        <v>2024</v>
      </c>
      <c r="I100" s="23" t="s">
        <v>28</v>
      </c>
      <c r="J100" s="24" t="s">
        <v>254</v>
      </c>
      <c r="K100" s="24" t="s">
        <v>104</v>
      </c>
      <c r="L100" s="23" t="s">
        <v>31</v>
      </c>
      <c r="M100" s="23" t="s">
        <v>357</v>
      </c>
      <c r="N100" s="4" t="str">
        <f>VLOOKUP(Tabla2[[#This Row],[No. ECO]],Hoja1!A:D,2,FALSE)</f>
        <v>GM-</v>
      </c>
      <c r="O100" s="4" t="s">
        <v>33</v>
      </c>
      <c r="P100" s="44"/>
      <c r="Q100" s="4"/>
    </row>
    <row r="101" spans="1:17" x14ac:dyDescent="0.3">
      <c r="A101" s="4" t="str">
        <f>Tabla2[[#This Row],[TIPO2]]&amp;" "&amp;Tabla2[[#This Row],[ESTRUCTURA]]</f>
        <v>QUINTA BAJA 2.0 COTTRELL</v>
      </c>
      <c r="B101" s="22" t="s">
        <v>358</v>
      </c>
      <c r="C101" s="23" t="s">
        <v>359</v>
      </c>
      <c r="D101" s="23" t="s">
        <v>93</v>
      </c>
      <c r="E101" s="23" t="s">
        <v>90</v>
      </c>
      <c r="F101" s="23" t="s">
        <v>94</v>
      </c>
      <c r="G101" s="23" t="s">
        <v>102</v>
      </c>
      <c r="H101" s="23">
        <v>2024</v>
      </c>
      <c r="I101" s="23" t="s">
        <v>28</v>
      </c>
      <c r="J101" s="24" t="s">
        <v>254</v>
      </c>
      <c r="K101" s="24" t="s">
        <v>104</v>
      </c>
      <c r="L101" s="23" t="s">
        <v>31</v>
      </c>
      <c r="M101" s="23" t="s">
        <v>360</v>
      </c>
      <c r="N101" s="4" t="str">
        <f>VLOOKUP(Tabla2[[#This Row],[No. ECO]],Hoja1!A:D,2,FALSE)</f>
        <v>GM-</v>
      </c>
      <c r="O101" s="4" t="s">
        <v>41</v>
      </c>
      <c r="P101" s="44">
        <v>45556</v>
      </c>
      <c r="Q101" s="4" t="s">
        <v>47</v>
      </c>
    </row>
    <row r="102" spans="1:17" x14ac:dyDescent="0.3">
      <c r="A102" s="4" t="str">
        <f>Tabla2[[#This Row],[TIPO2]]&amp;" "&amp;Tabla2[[#This Row],[ESTRUCTURA]]</f>
        <v>QUINTA BAJA 2.0 COTTRELL</v>
      </c>
      <c r="B102" s="22" t="s">
        <v>361</v>
      </c>
      <c r="C102" s="23" t="s">
        <v>362</v>
      </c>
      <c r="D102" s="23" t="s">
        <v>93</v>
      </c>
      <c r="E102" s="23" t="s">
        <v>90</v>
      </c>
      <c r="F102" s="23" t="s">
        <v>94</v>
      </c>
      <c r="G102" s="23" t="s">
        <v>102</v>
      </c>
      <c r="H102" s="23">
        <v>2024</v>
      </c>
      <c r="I102" s="23" t="s">
        <v>28</v>
      </c>
      <c r="J102" s="24" t="s">
        <v>254</v>
      </c>
      <c r="K102" s="24" t="s">
        <v>104</v>
      </c>
      <c r="L102" s="23" t="s">
        <v>31</v>
      </c>
      <c r="M102" s="23" t="s">
        <v>363</v>
      </c>
      <c r="N102" s="4" t="str">
        <f>VLOOKUP(Tabla2[[#This Row],[No. ECO]],Hoja1!A:D,2,FALSE)</f>
        <v>GM-</v>
      </c>
      <c r="O102" s="4" t="s">
        <v>41</v>
      </c>
      <c r="P102" s="44">
        <v>45610</v>
      </c>
      <c r="Q102" s="4" t="s">
        <v>42</v>
      </c>
    </row>
    <row r="103" spans="1:17" x14ac:dyDescent="0.3">
      <c r="A103" s="4" t="str">
        <f>Tabla2[[#This Row],[TIPO2]]&amp;" "&amp;Tabla2[[#This Row],[ESTRUCTURA]]</f>
        <v>QUINTA BAJA 2.0 COTTRELL</v>
      </c>
      <c r="B103" s="22" t="s">
        <v>364</v>
      </c>
      <c r="C103" s="23" t="s">
        <v>365</v>
      </c>
      <c r="D103" s="23" t="s">
        <v>93</v>
      </c>
      <c r="E103" s="23" t="s">
        <v>90</v>
      </c>
      <c r="F103" s="23" t="s">
        <v>94</v>
      </c>
      <c r="G103" s="23" t="s">
        <v>102</v>
      </c>
      <c r="H103" s="23">
        <v>2024</v>
      </c>
      <c r="I103" s="23" t="s">
        <v>28</v>
      </c>
      <c r="J103" s="24" t="s">
        <v>254</v>
      </c>
      <c r="K103" s="24" t="s">
        <v>104</v>
      </c>
      <c r="L103" s="23" t="s">
        <v>31</v>
      </c>
      <c r="M103" s="23" t="s">
        <v>366</v>
      </c>
      <c r="N103" s="4" t="str">
        <f>VLOOKUP(Tabla2[[#This Row],[No. ECO]],Hoja1!A:D,2,FALSE)</f>
        <v>GM-</v>
      </c>
      <c r="O103" s="4" t="s">
        <v>41</v>
      </c>
      <c r="P103" s="44">
        <v>45609</v>
      </c>
      <c r="Q103" s="4" t="s">
        <v>42</v>
      </c>
    </row>
    <row r="104" spans="1:17" x14ac:dyDescent="0.3">
      <c r="A104" s="4" t="str">
        <f>Tabla2[[#This Row],[TIPO2]]&amp;" "&amp;Tabla2[[#This Row],[ESTRUCTURA]]</f>
        <v>QUINTA BAJA 2.0 COTTRELL</v>
      </c>
      <c r="B104" s="22" t="s">
        <v>367</v>
      </c>
      <c r="C104" s="23" t="s">
        <v>368</v>
      </c>
      <c r="D104" s="23" t="s">
        <v>93</v>
      </c>
      <c r="E104" s="23" t="s">
        <v>90</v>
      </c>
      <c r="F104" s="23" t="s">
        <v>94</v>
      </c>
      <c r="G104" s="23" t="s">
        <v>102</v>
      </c>
      <c r="H104" s="23">
        <v>2024</v>
      </c>
      <c r="I104" s="23" t="s">
        <v>28</v>
      </c>
      <c r="J104" s="24" t="s">
        <v>254</v>
      </c>
      <c r="K104" s="24" t="s">
        <v>104</v>
      </c>
      <c r="L104" s="23" t="s">
        <v>31</v>
      </c>
      <c r="M104" s="23" t="s">
        <v>369</v>
      </c>
      <c r="N104" s="4" t="str">
        <f>VLOOKUP(Tabla2[[#This Row],[No. ECO]],Hoja1!A:D,2,FALSE)</f>
        <v>GM-</v>
      </c>
      <c r="O104" s="4" t="s">
        <v>41</v>
      </c>
      <c r="P104" s="44">
        <v>45545</v>
      </c>
      <c r="Q104" s="4" t="s">
        <v>47</v>
      </c>
    </row>
    <row r="105" spans="1:17" x14ac:dyDescent="0.3">
      <c r="A105" s="4" t="str">
        <f>Tabla2[[#This Row],[TIPO2]]&amp;" "&amp;Tabla2[[#This Row],[ESTRUCTURA]]</f>
        <v>QUINTA BAJA 2.0 COTTRELL</v>
      </c>
      <c r="B105" s="22" t="s">
        <v>370</v>
      </c>
      <c r="C105" s="23" t="s">
        <v>371</v>
      </c>
      <c r="D105" s="23" t="s">
        <v>93</v>
      </c>
      <c r="E105" s="23" t="s">
        <v>90</v>
      </c>
      <c r="F105" s="23" t="s">
        <v>94</v>
      </c>
      <c r="G105" s="23" t="s">
        <v>102</v>
      </c>
      <c r="H105" s="23">
        <v>2024</v>
      </c>
      <c r="I105" s="23" t="s">
        <v>28</v>
      </c>
      <c r="J105" s="24" t="s">
        <v>254</v>
      </c>
      <c r="K105" s="24" t="s">
        <v>104</v>
      </c>
      <c r="L105" s="23" t="s">
        <v>31</v>
      </c>
      <c r="M105" s="23" t="s">
        <v>372</v>
      </c>
      <c r="N105" s="4" t="str">
        <f>VLOOKUP(Tabla2[[#This Row],[No. ECO]],Hoja1!A:D,2,FALSE)</f>
        <v>GM-</v>
      </c>
      <c r="O105" s="4" t="s">
        <v>41</v>
      </c>
      <c r="P105" s="44">
        <v>45518</v>
      </c>
      <c r="Q105" s="4" t="s">
        <v>47</v>
      </c>
    </row>
    <row r="106" spans="1:17" x14ac:dyDescent="0.3">
      <c r="A106" s="4" t="str">
        <f>Tabla2[[#This Row],[TIPO2]]&amp;" "&amp;Tabla2[[#This Row],[ESTRUCTURA]]</f>
        <v>QUINTA BAJA 2.0 COTTRELL</v>
      </c>
      <c r="B106" s="22" t="s">
        <v>373</v>
      </c>
      <c r="C106" s="23" t="s">
        <v>374</v>
      </c>
      <c r="D106" s="23" t="s">
        <v>93</v>
      </c>
      <c r="E106" s="23" t="s">
        <v>90</v>
      </c>
      <c r="F106" s="23" t="s">
        <v>94</v>
      </c>
      <c r="G106" s="23" t="s">
        <v>102</v>
      </c>
      <c r="H106" s="23">
        <v>2024</v>
      </c>
      <c r="I106" s="23" t="s">
        <v>28</v>
      </c>
      <c r="J106" s="24" t="s">
        <v>254</v>
      </c>
      <c r="K106" s="24" t="s">
        <v>104</v>
      </c>
      <c r="L106" s="23" t="s">
        <v>31</v>
      </c>
      <c r="M106" s="23" t="s">
        <v>375</v>
      </c>
      <c r="N106" s="4" t="str">
        <f>VLOOKUP(Tabla2[[#This Row],[No. ECO]],Hoja1!A:D,2,FALSE)</f>
        <v>GM-</v>
      </c>
      <c r="O106" s="4" t="s">
        <v>41</v>
      </c>
      <c r="P106" s="44">
        <v>45610</v>
      </c>
      <c r="Q106" s="4" t="s">
        <v>42</v>
      </c>
    </row>
    <row r="107" spans="1:17" x14ac:dyDescent="0.3">
      <c r="A107" s="4" t="str">
        <f>Tabla2[[#This Row],[TIPO2]]&amp;" "&amp;Tabla2[[#This Row],[ESTRUCTURA]]</f>
        <v>C3 JAES</v>
      </c>
      <c r="B107" s="22" t="s">
        <v>376</v>
      </c>
      <c r="C107" s="23" t="s">
        <v>377</v>
      </c>
      <c r="D107" s="23" t="s">
        <v>93</v>
      </c>
      <c r="E107" s="23" t="s">
        <v>90</v>
      </c>
      <c r="F107" s="23" t="s">
        <v>94</v>
      </c>
      <c r="G107" s="23" t="s">
        <v>102</v>
      </c>
      <c r="H107" s="23">
        <v>2024</v>
      </c>
      <c r="I107" s="23" t="s">
        <v>306</v>
      </c>
      <c r="J107" s="24" t="s">
        <v>307</v>
      </c>
      <c r="K107" s="24" t="s">
        <v>306</v>
      </c>
      <c r="L107" s="23" t="s">
        <v>31</v>
      </c>
      <c r="M107" s="23" t="s">
        <v>378</v>
      </c>
      <c r="N107" s="4" t="str">
        <f>VLOOKUP(Tabla2[[#This Row],[No. ECO]],Hoja1!A:D,2,FALSE)</f>
        <v>GM-</v>
      </c>
      <c r="O107" s="4" t="s">
        <v>33</v>
      </c>
      <c r="P107" s="44"/>
      <c r="Q107" s="4"/>
    </row>
    <row r="108" spans="1:17" x14ac:dyDescent="0.3">
      <c r="A108" s="4" t="str">
        <f>Tabla2[[#This Row],[TIPO2]]&amp;" "&amp;Tabla2[[#This Row],[ESTRUCTURA]]</f>
        <v>C3 JAES</v>
      </c>
      <c r="B108" s="22" t="s">
        <v>379</v>
      </c>
      <c r="C108" s="23" t="s">
        <v>380</v>
      </c>
      <c r="D108" s="23" t="s">
        <v>93</v>
      </c>
      <c r="E108" s="23" t="s">
        <v>90</v>
      </c>
      <c r="F108" s="23" t="s">
        <v>94</v>
      </c>
      <c r="G108" s="23" t="s">
        <v>102</v>
      </c>
      <c r="H108" s="23">
        <v>2024</v>
      </c>
      <c r="I108" s="23" t="s">
        <v>306</v>
      </c>
      <c r="J108" s="24" t="s">
        <v>307</v>
      </c>
      <c r="K108" s="24" t="s">
        <v>306</v>
      </c>
      <c r="L108" s="23" t="s">
        <v>31</v>
      </c>
      <c r="M108" s="23" t="s">
        <v>381</v>
      </c>
      <c r="N108" s="4" t="str">
        <f>VLOOKUP(Tabla2[[#This Row],[No. ECO]],Hoja1!A:D,2,FALSE)</f>
        <v>BMW-</v>
      </c>
      <c r="O108" s="4" t="s">
        <v>41</v>
      </c>
      <c r="P108" s="44">
        <v>45610</v>
      </c>
      <c r="Q108" s="4" t="s">
        <v>42</v>
      </c>
    </row>
    <row r="109" spans="1:17" x14ac:dyDescent="0.3">
      <c r="A109" s="4" t="str">
        <f>Tabla2[[#This Row],[TIPO2]]&amp;" "&amp;Tabla2[[#This Row],[ESTRUCTURA]]</f>
        <v>C3 JAES</v>
      </c>
      <c r="B109" s="22" t="s">
        <v>382</v>
      </c>
      <c r="C109" s="23" t="s">
        <v>383</v>
      </c>
      <c r="D109" s="23" t="s">
        <v>93</v>
      </c>
      <c r="E109" s="23" t="s">
        <v>90</v>
      </c>
      <c r="F109" s="23" t="s">
        <v>94</v>
      </c>
      <c r="G109" s="23" t="s">
        <v>102</v>
      </c>
      <c r="H109" s="23">
        <v>2024</v>
      </c>
      <c r="I109" s="23" t="s">
        <v>306</v>
      </c>
      <c r="J109" s="24" t="s">
        <v>307</v>
      </c>
      <c r="K109" s="24" t="s">
        <v>306</v>
      </c>
      <c r="L109" s="23" t="s">
        <v>31</v>
      </c>
      <c r="M109" s="23" t="s">
        <v>384</v>
      </c>
      <c r="N109" s="4" t="str">
        <f>VLOOKUP(Tabla2[[#This Row],[No. ECO]],Hoja1!A:D,2,FALSE)</f>
        <v>GM-</v>
      </c>
      <c r="O109" s="4" t="s">
        <v>41</v>
      </c>
      <c r="P109" s="44">
        <v>45610</v>
      </c>
      <c r="Q109" s="4" t="s">
        <v>42</v>
      </c>
    </row>
    <row r="110" spans="1:17" x14ac:dyDescent="0.3">
      <c r="A110" s="4" t="str">
        <f>Tabla2[[#This Row],[TIPO2]]&amp;" "&amp;Tabla2[[#This Row],[ESTRUCTURA]]</f>
        <v>C3 JAES</v>
      </c>
      <c r="B110" s="22" t="s">
        <v>385</v>
      </c>
      <c r="C110" s="23" t="s">
        <v>386</v>
      </c>
      <c r="D110" s="23" t="s">
        <v>93</v>
      </c>
      <c r="E110" s="23" t="s">
        <v>90</v>
      </c>
      <c r="F110" s="23" t="s">
        <v>94</v>
      </c>
      <c r="G110" s="23" t="s">
        <v>102</v>
      </c>
      <c r="H110" s="23">
        <v>2024</v>
      </c>
      <c r="I110" s="23" t="s">
        <v>306</v>
      </c>
      <c r="J110" s="24" t="s">
        <v>307</v>
      </c>
      <c r="K110" s="24" t="s">
        <v>306</v>
      </c>
      <c r="L110" s="23" t="s">
        <v>31</v>
      </c>
      <c r="M110" s="23" t="s">
        <v>387</v>
      </c>
      <c r="N110" s="4" t="str">
        <f>VLOOKUP(Tabla2[[#This Row],[No. ECO]],Hoja1!A:D,2,FALSE)</f>
        <v>GM-</v>
      </c>
      <c r="O110" s="4" t="s">
        <v>41</v>
      </c>
      <c r="P110" s="44">
        <v>45608</v>
      </c>
      <c r="Q110" s="4" t="s">
        <v>42</v>
      </c>
    </row>
    <row r="111" spans="1:17" x14ac:dyDescent="0.3">
      <c r="A111" s="4" t="str">
        <f>Tabla2[[#This Row],[TIPO2]]&amp;" "&amp;Tabla2[[#This Row],[ESTRUCTURA]]</f>
        <v>QUINTA BAJA 2.0 COTTRELL</v>
      </c>
      <c r="B111" s="22" t="s">
        <v>388</v>
      </c>
      <c r="C111" s="23" t="s">
        <v>389</v>
      </c>
      <c r="D111" s="23" t="s">
        <v>93</v>
      </c>
      <c r="E111" s="23" t="s">
        <v>90</v>
      </c>
      <c r="F111" s="23" t="s">
        <v>94</v>
      </c>
      <c r="G111" s="23" t="s">
        <v>102</v>
      </c>
      <c r="H111" s="23">
        <v>2024</v>
      </c>
      <c r="I111" s="23" t="s">
        <v>28</v>
      </c>
      <c r="J111" s="24" t="s">
        <v>254</v>
      </c>
      <c r="K111" s="24" t="s">
        <v>104</v>
      </c>
      <c r="L111" s="23" t="s">
        <v>31</v>
      </c>
      <c r="M111" s="23" t="s">
        <v>390</v>
      </c>
      <c r="N111" s="4" t="str">
        <f>VLOOKUP(Tabla2[[#This Row],[No. ECO]],Hoja1!A:D,2,FALSE)</f>
        <v>GM-</v>
      </c>
      <c r="O111" s="4" t="s">
        <v>41</v>
      </c>
      <c r="P111" s="44">
        <v>45591</v>
      </c>
      <c r="Q111" s="4" t="s">
        <v>42</v>
      </c>
    </row>
    <row r="112" spans="1:17" x14ac:dyDescent="0.3">
      <c r="A112" s="4" t="str">
        <f>Tabla2[[#This Row],[TIPO2]]&amp;" "&amp;Tabla2[[#This Row],[ESTRUCTURA]]</f>
        <v>QUINTA BAJA 2.0 COTTRELL</v>
      </c>
      <c r="B112" s="22" t="s">
        <v>391</v>
      </c>
      <c r="C112" s="23" t="s">
        <v>392</v>
      </c>
      <c r="D112" s="23" t="s">
        <v>93</v>
      </c>
      <c r="E112" s="23" t="s">
        <v>90</v>
      </c>
      <c r="F112" s="23" t="s">
        <v>94</v>
      </c>
      <c r="G112" s="23" t="s">
        <v>102</v>
      </c>
      <c r="H112" s="23">
        <v>2024</v>
      </c>
      <c r="I112" s="23" t="s">
        <v>28</v>
      </c>
      <c r="J112" s="24" t="s">
        <v>254</v>
      </c>
      <c r="K112" s="24" t="s">
        <v>104</v>
      </c>
      <c r="L112" s="23" t="s">
        <v>31</v>
      </c>
      <c r="M112" s="23" t="s">
        <v>393</v>
      </c>
      <c r="N112" s="4" t="str">
        <f>VLOOKUP(Tabla2[[#This Row],[No. ECO]],Hoja1!A:D,2,FALSE)</f>
        <v>GM-</v>
      </c>
      <c r="O112" s="4" t="s">
        <v>41</v>
      </c>
      <c r="P112" s="44" t="s">
        <v>394</v>
      </c>
      <c r="Q112" s="4" t="s">
        <v>47</v>
      </c>
    </row>
    <row r="113" spans="1:17" x14ac:dyDescent="0.3">
      <c r="A113" s="4" t="str">
        <f>Tabla2[[#This Row],[TIPO2]]&amp;" "&amp;Tabla2[[#This Row],[ESTRUCTURA]]</f>
        <v>C3 JAES</v>
      </c>
      <c r="B113" s="22" t="s">
        <v>395</v>
      </c>
      <c r="C113" s="23" t="s">
        <v>396</v>
      </c>
      <c r="D113" s="23" t="s">
        <v>134</v>
      </c>
      <c r="E113" s="23" t="s">
        <v>90</v>
      </c>
      <c r="F113" s="23" t="s">
        <v>94</v>
      </c>
      <c r="G113" s="23" t="s">
        <v>329</v>
      </c>
      <c r="H113" s="23">
        <v>2024</v>
      </c>
      <c r="I113" s="23" t="s">
        <v>306</v>
      </c>
      <c r="J113" s="24" t="s">
        <v>307</v>
      </c>
      <c r="K113" s="24" t="s">
        <v>306</v>
      </c>
      <c r="L113" s="23" t="s">
        <v>31</v>
      </c>
      <c r="M113" s="23" t="s">
        <v>397</v>
      </c>
      <c r="N113" s="4" t="str">
        <f>VLOOKUP(Tabla2[[#This Row],[No. ECO]],Hoja1!A:D,2,FALSE)</f>
        <v>GM-</v>
      </c>
      <c r="O113" s="4" t="s">
        <v>41</v>
      </c>
      <c r="P113" s="44">
        <v>45587</v>
      </c>
      <c r="Q113" s="4" t="s">
        <v>42</v>
      </c>
    </row>
    <row r="114" spans="1:17" x14ac:dyDescent="0.3">
      <c r="A114" s="4" t="str">
        <f>Tabla2[[#This Row],[TIPO2]]&amp;" "&amp;Tabla2[[#This Row],[ESTRUCTURA]]</f>
        <v>C3 JAES</v>
      </c>
      <c r="B114" s="22" t="s">
        <v>398</v>
      </c>
      <c r="C114" s="23" t="s">
        <v>399</v>
      </c>
      <c r="D114" s="23" t="s">
        <v>134</v>
      </c>
      <c r="E114" s="23" t="s">
        <v>90</v>
      </c>
      <c r="F114" s="23" t="s">
        <v>94</v>
      </c>
      <c r="G114" s="23" t="s">
        <v>329</v>
      </c>
      <c r="H114" s="23">
        <v>2024</v>
      </c>
      <c r="I114" s="23" t="s">
        <v>306</v>
      </c>
      <c r="J114" s="24" t="s">
        <v>307</v>
      </c>
      <c r="K114" s="24" t="s">
        <v>306</v>
      </c>
      <c r="L114" s="23" t="s">
        <v>31</v>
      </c>
      <c r="M114" s="23" t="s">
        <v>400</v>
      </c>
      <c r="N114" s="4" t="str">
        <f>VLOOKUP(Tabla2[[#This Row],[No. ECO]],Hoja1!A:D,2,FALSE)</f>
        <v>GM-</v>
      </c>
      <c r="O114" s="4" t="s">
        <v>41</v>
      </c>
      <c r="P114" s="44">
        <v>45587</v>
      </c>
      <c r="Q114" s="4" t="s">
        <v>42</v>
      </c>
    </row>
    <row r="115" spans="1:17" x14ac:dyDescent="0.3">
      <c r="A115" s="4" t="str">
        <f>Tabla2[[#This Row],[TIPO2]]&amp;" "&amp;Tabla2[[#This Row],[ESTRUCTURA]]</f>
        <v>C3 JAES</v>
      </c>
      <c r="B115" s="22" t="s">
        <v>401</v>
      </c>
      <c r="C115" s="23" t="s">
        <v>402</v>
      </c>
      <c r="D115" s="23" t="s">
        <v>134</v>
      </c>
      <c r="E115" s="23" t="s">
        <v>90</v>
      </c>
      <c r="F115" s="23" t="s">
        <v>94</v>
      </c>
      <c r="G115" s="23" t="s">
        <v>329</v>
      </c>
      <c r="H115" s="23">
        <v>2024</v>
      </c>
      <c r="I115" s="23" t="s">
        <v>306</v>
      </c>
      <c r="J115" s="24" t="s">
        <v>307</v>
      </c>
      <c r="K115" s="24" t="s">
        <v>306</v>
      </c>
      <c r="L115" s="23" t="s">
        <v>31</v>
      </c>
      <c r="M115" s="23" t="s">
        <v>403</v>
      </c>
      <c r="N115" s="4" t="str">
        <f>VLOOKUP(Tabla2[[#This Row],[No. ECO]],Hoja1!A:D,2,FALSE)</f>
        <v>BMW-</v>
      </c>
      <c r="O115" s="4" t="s">
        <v>41</v>
      </c>
      <c r="P115" s="44">
        <v>45521</v>
      </c>
      <c r="Q115" s="4" t="s">
        <v>47</v>
      </c>
    </row>
    <row r="116" spans="1:17" x14ac:dyDescent="0.3">
      <c r="A116" s="4" t="str">
        <f>Tabla2[[#This Row],[TIPO2]]&amp;" "&amp;Tabla2[[#This Row],[ESTRUCTURA]]</f>
        <v>QUINTA BAJA 2.0 COTTRELL</v>
      </c>
      <c r="B116" s="22" t="s">
        <v>404</v>
      </c>
      <c r="C116" s="23" t="s">
        <v>405</v>
      </c>
      <c r="D116" s="23" t="s">
        <v>93</v>
      </c>
      <c r="E116" s="23" t="s">
        <v>90</v>
      </c>
      <c r="F116" s="23" t="s">
        <v>94</v>
      </c>
      <c r="G116" s="23" t="s">
        <v>102</v>
      </c>
      <c r="H116" s="23">
        <v>2024</v>
      </c>
      <c r="I116" s="23" t="s">
        <v>28</v>
      </c>
      <c r="J116" s="24" t="s">
        <v>254</v>
      </c>
      <c r="K116" s="24" t="s">
        <v>104</v>
      </c>
      <c r="L116" s="23" t="s">
        <v>31</v>
      </c>
      <c r="M116" s="23" t="s">
        <v>406</v>
      </c>
      <c r="N116" s="4" t="str">
        <f>VLOOKUP(Tabla2[[#This Row],[No. ECO]],Hoja1!A:D,2,FALSE)</f>
        <v>GM-</v>
      </c>
      <c r="O116" s="4" t="s">
        <v>33</v>
      </c>
      <c r="P116" s="44"/>
      <c r="Q116" s="4"/>
    </row>
    <row r="117" spans="1:17" x14ac:dyDescent="0.3">
      <c r="A117" s="4" t="str">
        <f>Tabla2[[#This Row],[TIPO2]]&amp;" "&amp;Tabla2[[#This Row],[ESTRUCTURA]]</f>
        <v>QUINTA BAJA 2.0 COTTRELL</v>
      </c>
      <c r="B117" s="22" t="s">
        <v>407</v>
      </c>
      <c r="C117" s="23" t="s">
        <v>408</v>
      </c>
      <c r="D117" s="23" t="s">
        <v>93</v>
      </c>
      <c r="E117" s="23" t="s">
        <v>90</v>
      </c>
      <c r="F117" s="23" t="s">
        <v>94</v>
      </c>
      <c r="G117" s="23" t="s">
        <v>102</v>
      </c>
      <c r="H117" s="23">
        <v>2024</v>
      </c>
      <c r="I117" s="23" t="s">
        <v>28</v>
      </c>
      <c r="J117" s="24" t="s">
        <v>254</v>
      </c>
      <c r="K117" s="24" t="s">
        <v>104</v>
      </c>
      <c r="L117" s="23" t="s">
        <v>31</v>
      </c>
      <c r="M117" s="23" t="s">
        <v>409</v>
      </c>
      <c r="N117" s="4" t="str">
        <f>VLOOKUP(Tabla2[[#This Row],[No. ECO]],Hoja1!A:D,2,FALSE)</f>
        <v>GM-</v>
      </c>
      <c r="O117" s="4" t="s">
        <v>33</v>
      </c>
      <c r="P117" s="44"/>
      <c r="Q117" s="4"/>
    </row>
    <row r="118" spans="1:17" x14ac:dyDescent="0.3">
      <c r="A118" s="4" t="str">
        <f>Tabla2[[#This Row],[TIPO2]]&amp;" "&amp;Tabla2[[#This Row],[ESTRUCTURA]]</f>
        <v>QUINTA BAJA 2.0 COTTRELL</v>
      </c>
      <c r="B118" s="22" t="s">
        <v>410</v>
      </c>
      <c r="C118" s="23" t="s">
        <v>411</v>
      </c>
      <c r="D118" s="23" t="s">
        <v>93</v>
      </c>
      <c r="E118" s="23" t="s">
        <v>90</v>
      </c>
      <c r="F118" s="23" t="s">
        <v>94</v>
      </c>
      <c r="G118" s="23" t="s">
        <v>102</v>
      </c>
      <c r="H118" s="23">
        <v>2024</v>
      </c>
      <c r="I118" s="23" t="s">
        <v>28</v>
      </c>
      <c r="J118" s="24" t="s">
        <v>254</v>
      </c>
      <c r="K118" s="24" t="s">
        <v>104</v>
      </c>
      <c r="L118" s="23" t="s">
        <v>31</v>
      </c>
      <c r="M118" s="23" t="s">
        <v>412</v>
      </c>
      <c r="N118" s="4" t="str">
        <f>VLOOKUP(Tabla2[[#This Row],[No. ECO]],Hoja1!A:D,2,FALSE)</f>
        <v>TY-D-</v>
      </c>
      <c r="O118" s="4" t="s">
        <v>41</v>
      </c>
      <c r="P118" s="44">
        <v>45548</v>
      </c>
      <c r="Q118" s="4" t="s">
        <v>47</v>
      </c>
    </row>
    <row r="119" spans="1:17" x14ac:dyDescent="0.3">
      <c r="A119" s="4" t="str">
        <f>Tabla2[[#This Row],[TIPO2]]&amp;" "&amp;Tabla2[[#This Row],[ESTRUCTURA]]</f>
        <v>QUINTA BAJA 2.0 COTTRELL</v>
      </c>
      <c r="B119" s="22" t="s">
        <v>413</v>
      </c>
      <c r="C119" s="23" t="s">
        <v>414</v>
      </c>
      <c r="D119" s="23" t="s">
        <v>93</v>
      </c>
      <c r="E119" s="23" t="s">
        <v>90</v>
      </c>
      <c r="F119" s="23" t="s">
        <v>94</v>
      </c>
      <c r="G119" s="23" t="s">
        <v>102</v>
      </c>
      <c r="H119" s="23">
        <v>2024</v>
      </c>
      <c r="I119" s="23" t="s">
        <v>28</v>
      </c>
      <c r="J119" s="24" t="s">
        <v>254</v>
      </c>
      <c r="K119" s="24" t="s">
        <v>104</v>
      </c>
      <c r="L119" s="23" t="s">
        <v>31</v>
      </c>
      <c r="M119" s="23" t="s">
        <v>415</v>
      </c>
      <c r="N119" s="4" t="str">
        <f>VLOOKUP(Tabla2[[#This Row],[No. ECO]],Hoja1!A:D,2,FALSE)</f>
        <v>GM-</v>
      </c>
      <c r="O119" s="4" t="s">
        <v>41</v>
      </c>
      <c r="P119" s="44">
        <v>45552</v>
      </c>
      <c r="Q119" s="4" t="s">
        <v>47</v>
      </c>
    </row>
    <row r="120" spans="1:17" x14ac:dyDescent="0.3">
      <c r="A120" s="4" t="str">
        <f>Tabla2[[#This Row],[TIPO2]]&amp;" "&amp;Tabla2[[#This Row],[ESTRUCTURA]]</f>
        <v>QUINTA BAJA 2.0 COTTRELL</v>
      </c>
      <c r="B120" s="22" t="s">
        <v>416</v>
      </c>
      <c r="C120" s="23" t="s">
        <v>417</v>
      </c>
      <c r="D120" s="23" t="s">
        <v>93</v>
      </c>
      <c r="E120" s="23" t="s">
        <v>90</v>
      </c>
      <c r="F120" s="23" t="s">
        <v>94</v>
      </c>
      <c r="G120" s="23" t="s">
        <v>102</v>
      </c>
      <c r="H120" s="23">
        <v>2024</v>
      </c>
      <c r="I120" s="23" t="s">
        <v>28</v>
      </c>
      <c r="J120" s="24" t="s">
        <v>254</v>
      </c>
      <c r="K120" s="24" t="s">
        <v>104</v>
      </c>
      <c r="L120" s="23" t="s">
        <v>31</v>
      </c>
      <c r="M120" s="23" t="s">
        <v>418</v>
      </c>
      <c r="N120" s="4" t="str">
        <f>VLOOKUP(Tabla2[[#This Row],[No. ECO]],Hoja1!A:D,2,FALSE)</f>
        <v>GM-</v>
      </c>
      <c r="O120" s="4" t="s">
        <v>33</v>
      </c>
      <c r="P120" s="44"/>
      <c r="Q120" s="4"/>
    </row>
    <row r="121" spans="1:17" x14ac:dyDescent="0.3">
      <c r="A121" s="4" t="str">
        <f>Tabla2[[#This Row],[TIPO2]]&amp;" "&amp;Tabla2[[#This Row],[ESTRUCTURA]]</f>
        <v>QUINTA BAJA 2.0 COTTRELL</v>
      </c>
      <c r="B121" s="22" t="s">
        <v>419</v>
      </c>
      <c r="C121" s="23" t="s">
        <v>420</v>
      </c>
      <c r="D121" s="23" t="s">
        <v>93</v>
      </c>
      <c r="E121" s="23" t="s">
        <v>90</v>
      </c>
      <c r="F121" s="23" t="s">
        <v>94</v>
      </c>
      <c r="G121" s="23" t="s">
        <v>102</v>
      </c>
      <c r="H121" s="23">
        <v>2024</v>
      </c>
      <c r="I121" s="23" t="s">
        <v>28</v>
      </c>
      <c r="J121" s="24" t="s">
        <v>254</v>
      </c>
      <c r="K121" s="24" t="s">
        <v>104</v>
      </c>
      <c r="L121" s="23" t="s">
        <v>31</v>
      </c>
      <c r="M121" s="23" t="s">
        <v>421</v>
      </c>
      <c r="N121" s="4" t="str">
        <f>VLOOKUP(Tabla2[[#This Row],[No. ECO]],Hoja1!A:D,2,FALSE)</f>
        <v>GM-</v>
      </c>
      <c r="O121" s="4" t="s">
        <v>33</v>
      </c>
      <c r="P121" s="44"/>
      <c r="Q121" s="4"/>
    </row>
    <row r="122" spans="1:17" x14ac:dyDescent="0.3">
      <c r="A122" s="4" t="str">
        <f>Tabla2[[#This Row],[TIPO2]]&amp;" "&amp;Tabla2[[#This Row],[ESTRUCTURA]]</f>
        <v>QUINTA BAJA 2.0 COTTRELL</v>
      </c>
      <c r="B122" s="22" t="s">
        <v>422</v>
      </c>
      <c r="C122" s="23" t="s">
        <v>423</v>
      </c>
      <c r="D122" s="23" t="s">
        <v>93</v>
      </c>
      <c r="E122" s="23" t="s">
        <v>90</v>
      </c>
      <c r="F122" s="23" t="s">
        <v>94</v>
      </c>
      <c r="G122" s="23" t="s">
        <v>102</v>
      </c>
      <c r="H122" s="23">
        <v>2024</v>
      </c>
      <c r="I122" s="23" t="s">
        <v>28</v>
      </c>
      <c r="J122" s="24" t="s">
        <v>254</v>
      </c>
      <c r="K122" s="24" t="s">
        <v>104</v>
      </c>
      <c r="L122" s="23" t="s">
        <v>31</v>
      </c>
      <c r="M122" s="23" t="s">
        <v>424</v>
      </c>
      <c r="N122" s="4" t="str">
        <f>VLOOKUP(Tabla2[[#This Row],[No. ECO]],Hoja1!A:D,2,FALSE)</f>
        <v>GM-</v>
      </c>
      <c r="O122" s="4" t="s">
        <v>41</v>
      </c>
      <c r="P122" s="44">
        <v>45572</v>
      </c>
      <c r="Q122" s="4" t="s">
        <v>42</v>
      </c>
    </row>
    <row r="123" spans="1:17" x14ac:dyDescent="0.3">
      <c r="A123" s="4" t="str">
        <f>Tabla2[[#This Row],[TIPO2]]&amp;" "&amp;Tabla2[[#This Row],[ESTRUCTURA]]</f>
        <v>QUINTA BAJA 2.0 COTTRELL</v>
      </c>
      <c r="B123" s="22" t="s">
        <v>425</v>
      </c>
      <c r="C123" s="23" t="s">
        <v>426</v>
      </c>
      <c r="D123" s="23" t="s">
        <v>93</v>
      </c>
      <c r="E123" s="23" t="s">
        <v>90</v>
      </c>
      <c r="F123" s="23" t="s">
        <v>94</v>
      </c>
      <c r="G123" s="23" t="s">
        <v>102</v>
      </c>
      <c r="H123" s="23">
        <v>2024</v>
      </c>
      <c r="I123" s="23" t="s">
        <v>28</v>
      </c>
      <c r="J123" s="24" t="s">
        <v>254</v>
      </c>
      <c r="K123" s="24" t="s">
        <v>104</v>
      </c>
      <c r="L123" s="23" t="s">
        <v>31</v>
      </c>
      <c r="M123" s="23" t="s">
        <v>427</v>
      </c>
      <c r="N123" s="4" t="str">
        <f>VLOOKUP(Tabla2[[#This Row],[No. ECO]],Hoja1!A:D,2,FALSE)</f>
        <v>GM-</v>
      </c>
      <c r="O123" s="4" t="s">
        <v>33</v>
      </c>
      <c r="P123" s="44"/>
      <c r="Q123" s="4"/>
    </row>
    <row r="124" spans="1:17" x14ac:dyDescent="0.3">
      <c r="A124" s="4" t="str">
        <f>Tabla2[[#This Row],[TIPO2]]&amp;" "&amp;Tabla2[[#This Row],[ESTRUCTURA]]</f>
        <v>QUINTA BAJA 2.0 COTTRELL</v>
      </c>
      <c r="B124" s="22" t="s">
        <v>428</v>
      </c>
      <c r="C124" s="23" t="s">
        <v>429</v>
      </c>
      <c r="D124" s="23" t="s">
        <v>93</v>
      </c>
      <c r="E124" s="23" t="s">
        <v>90</v>
      </c>
      <c r="F124" s="23" t="s">
        <v>94</v>
      </c>
      <c r="G124" s="23" t="s">
        <v>102</v>
      </c>
      <c r="H124" s="23">
        <v>2024</v>
      </c>
      <c r="I124" s="23" t="s">
        <v>28</v>
      </c>
      <c r="J124" s="24" t="s">
        <v>254</v>
      </c>
      <c r="K124" s="24" t="s">
        <v>104</v>
      </c>
      <c r="L124" s="23" t="s">
        <v>31</v>
      </c>
      <c r="M124" s="23" t="s">
        <v>430</v>
      </c>
      <c r="N124" s="4" t="str">
        <f>VLOOKUP(Tabla2[[#This Row],[No. ECO]],Hoja1!A:D,2,FALSE)</f>
        <v>MZ-</v>
      </c>
      <c r="O124" s="4" t="s">
        <v>33</v>
      </c>
      <c r="P124" s="44"/>
      <c r="Q124" s="4"/>
    </row>
    <row r="125" spans="1:17" x14ac:dyDescent="0.3">
      <c r="A125" s="4" t="str">
        <f>Tabla2[[#This Row],[TIPO2]]&amp;" "&amp;Tabla2[[#This Row],[ESTRUCTURA]]</f>
        <v>QUINTA BAJA 2.0 COTTRELL</v>
      </c>
      <c r="B125" s="22" t="s">
        <v>431</v>
      </c>
      <c r="C125" s="23" t="s">
        <v>432</v>
      </c>
      <c r="D125" s="23" t="s">
        <v>93</v>
      </c>
      <c r="E125" s="23" t="s">
        <v>90</v>
      </c>
      <c r="F125" s="23" t="s">
        <v>94</v>
      </c>
      <c r="G125" s="23" t="s">
        <v>102</v>
      </c>
      <c r="H125" s="23">
        <v>2024</v>
      </c>
      <c r="I125" s="23" t="s">
        <v>28</v>
      </c>
      <c r="J125" s="24" t="s">
        <v>254</v>
      </c>
      <c r="K125" s="24" t="s">
        <v>104</v>
      </c>
      <c r="L125" s="23" t="s">
        <v>31</v>
      </c>
      <c r="M125" s="23" t="s">
        <v>433</v>
      </c>
      <c r="N125" s="4" t="str">
        <f>VLOOKUP(Tabla2[[#This Row],[No. ECO]],Hoja1!A:D,2,FALSE)</f>
        <v>GM-</v>
      </c>
      <c r="O125" s="4" t="s">
        <v>41</v>
      </c>
      <c r="P125" s="44">
        <v>45573</v>
      </c>
      <c r="Q125" s="4" t="s">
        <v>42</v>
      </c>
    </row>
    <row r="126" spans="1:17" x14ac:dyDescent="0.3">
      <c r="A126" s="4" t="str">
        <f>Tabla2[[#This Row],[TIPO2]]&amp;" "&amp;Tabla2[[#This Row],[ESTRUCTURA]]</f>
        <v>QUINTA BAJA 2.0 COTTRELL</v>
      </c>
      <c r="B126" s="22" t="s">
        <v>434</v>
      </c>
      <c r="C126" s="23" t="s">
        <v>435</v>
      </c>
      <c r="D126" s="23" t="s">
        <v>93</v>
      </c>
      <c r="E126" s="23" t="s">
        <v>90</v>
      </c>
      <c r="F126" s="23" t="s">
        <v>94</v>
      </c>
      <c r="G126" s="23" t="s">
        <v>102</v>
      </c>
      <c r="H126" s="23">
        <v>2024</v>
      </c>
      <c r="I126" s="23" t="s">
        <v>28</v>
      </c>
      <c r="J126" s="24" t="s">
        <v>254</v>
      </c>
      <c r="K126" s="24" t="s">
        <v>104</v>
      </c>
      <c r="L126" s="23" t="s">
        <v>31</v>
      </c>
      <c r="M126" s="23" t="s">
        <v>436</v>
      </c>
      <c r="N126" s="4" t="str">
        <f>VLOOKUP(Tabla2[[#This Row],[No. ECO]],Hoja1!A:D,2,FALSE)</f>
        <v>GM-</v>
      </c>
      <c r="O126" s="4" t="s">
        <v>33</v>
      </c>
      <c r="P126" s="44"/>
      <c r="Q126" s="4"/>
    </row>
    <row r="127" spans="1:17" x14ac:dyDescent="0.3">
      <c r="A127" s="4" t="str">
        <f>Tabla2[[#This Row],[TIPO2]]&amp;" "&amp;Tabla2[[#This Row],[ESTRUCTURA]]</f>
        <v>QUINTA BAJA 2.0 COTTRELL</v>
      </c>
      <c r="B127" s="22" t="s">
        <v>437</v>
      </c>
      <c r="C127" s="23" t="s">
        <v>438</v>
      </c>
      <c r="D127" s="23" t="s">
        <v>93</v>
      </c>
      <c r="E127" s="23" t="s">
        <v>90</v>
      </c>
      <c r="F127" s="23" t="s">
        <v>94</v>
      </c>
      <c r="G127" s="23" t="s">
        <v>102</v>
      </c>
      <c r="H127" s="23">
        <v>2024</v>
      </c>
      <c r="I127" s="23" t="s">
        <v>28</v>
      </c>
      <c r="J127" s="24" t="s">
        <v>254</v>
      </c>
      <c r="K127" s="24" t="s">
        <v>104</v>
      </c>
      <c r="L127" s="23" t="s">
        <v>31</v>
      </c>
      <c r="M127" s="23" t="s">
        <v>439</v>
      </c>
      <c r="N127" s="4" t="str">
        <f>VLOOKUP(Tabla2[[#This Row],[No. ECO]],Hoja1!A:D,2,FALSE)</f>
        <v>TY-D-</v>
      </c>
      <c r="O127" s="4" t="s">
        <v>41</v>
      </c>
      <c r="P127" s="44">
        <v>45517</v>
      </c>
      <c r="Q127" s="4" t="s">
        <v>47</v>
      </c>
    </row>
    <row r="128" spans="1:17" x14ac:dyDescent="0.3">
      <c r="A128" s="4" t="str">
        <f>Tabla2[[#This Row],[TIPO2]]&amp;" "&amp;Tabla2[[#This Row],[ESTRUCTURA]]</f>
        <v>QUINTA BAJA 2.0 COTTRELL</v>
      </c>
      <c r="B128" s="22" t="s">
        <v>440</v>
      </c>
      <c r="C128" s="23" t="s">
        <v>441</v>
      </c>
      <c r="D128" s="23" t="s">
        <v>93</v>
      </c>
      <c r="E128" s="23" t="s">
        <v>90</v>
      </c>
      <c r="F128" s="23" t="s">
        <v>94</v>
      </c>
      <c r="G128" s="23" t="s">
        <v>102</v>
      </c>
      <c r="H128" s="23">
        <v>2024</v>
      </c>
      <c r="I128" s="23" t="s">
        <v>28</v>
      </c>
      <c r="J128" s="24" t="s">
        <v>254</v>
      </c>
      <c r="K128" s="24" t="s">
        <v>104</v>
      </c>
      <c r="L128" s="23" t="s">
        <v>31</v>
      </c>
      <c r="M128" s="23" t="s">
        <v>442</v>
      </c>
      <c r="N128" s="4" t="str">
        <f>VLOOKUP(Tabla2[[#This Row],[No. ECO]],Hoja1!A:D,2,FALSE)</f>
        <v>GM-</v>
      </c>
      <c r="O128" s="4" t="s">
        <v>33</v>
      </c>
      <c r="P128" s="44"/>
      <c r="Q128" s="4"/>
    </row>
    <row r="129" spans="1:17" x14ac:dyDescent="0.3">
      <c r="A129" s="4" t="str">
        <f>Tabla2[[#This Row],[TIPO2]]&amp;" "&amp;Tabla2[[#This Row],[ESTRUCTURA]]</f>
        <v>QUINTA BAJA 2.0 COTTRELL</v>
      </c>
      <c r="B129" s="22" t="s">
        <v>443</v>
      </c>
      <c r="C129" s="23" t="s">
        <v>444</v>
      </c>
      <c r="D129" s="23" t="s">
        <v>93</v>
      </c>
      <c r="E129" s="23" t="s">
        <v>90</v>
      </c>
      <c r="F129" s="23" t="s">
        <v>94</v>
      </c>
      <c r="G129" s="23" t="s">
        <v>102</v>
      </c>
      <c r="H129" s="23">
        <v>2024</v>
      </c>
      <c r="I129" s="23" t="s">
        <v>28</v>
      </c>
      <c r="J129" s="24" t="s">
        <v>254</v>
      </c>
      <c r="K129" s="24" t="s">
        <v>104</v>
      </c>
      <c r="L129" s="23" t="s">
        <v>31</v>
      </c>
      <c r="M129" s="23" t="s">
        <v>445</v>
      </c>
      <c r="N129" s="4" t="str">
        <f>VLOOKUP(Tabla2[[#This Row],[No. ECO]],Hoja1!A:D,2,FALSE)</f>
        <v>GM-</v>
      </c>
      <c r="O129" s="4" t="s">
        <v>41</v>
      </c>
      <c r="P129" s="44">
        <v>45539</v>
      </c>
      <c r="Q129" s="4" t="s">
        <v>47</v>
      </c>
    </row>
    <row r="130" spans="1:17" x14ac:dyDescent="0.3">
      <c r="A130" s="4" t="str">
        <f>Tabla2[[#This Row],[TIPO2]]&amp;" "&amp;Tabla2[[#This Row],[ESTRUCTURA]]</f>
        <v>QUINTA BAJA 2.0 COTTRELL</v>
      </c>
      <c r="B130" s="22" t="s">
        <v>446</v>
      </c>
      <c r="C130" s="23" t="s">
        <v>447</v>
      </c>
      <c r="D130" s="23" t="s">
        <v>93</v>
      </c>
      <c r="E130" s="23" t="s">
        <v>90</v>
      </c>
      <c r="F130" s="23" t="s">
        <v>94</v>
      </c>
      <c r="G130" s="23" t="s">
        <v>102</v>
      </c>
      <c r="H130" s="23">
        <v>2024</v>
      </c>
      <c r="I130" s="23" t="s">
        <v>28</v>
      </c>
      <c r="J130" s="24" t="s">
        <v>254</v>
      </c>
      <c r="K130" s="24" t="s">
        <v>104</v>
      </c>
      <c r="L130" s="23" t="s">
        <v>31</v>
      </c>
      <c r="M130" s="23" t="s">
        <v>448</v>
      </c>
      <c r="N130" s="4" t="str">
        <f>VLOOKUP(Tabla2[[#This Row],[No. ECO]],Hoja1!A:D,2,FALSE)</f>
        <v>TY-T-</v>
      </c>
      <c r="O130" s="4" t="s">
        <v>33</v>
      </c>
      <c r="P130" s="44"/>
      <c r="Q130" s="4"/>
    </row>
    <row r="131" spans="1:17" x14ac:dyDescent="0.3">
      <c r="A131" s="4" t="str">
        <f>Tabla2[[#This Row],[TIPO2]]&amp;" "&amp;Tabla2[[#This Row],[ESTRUCTURA]]</f>
        <v>QUINTA BAJA 2.0 COTTRELL</v>
      </c>
      <c r="B131" s="22" t="s">
        <v>449</v>
      </c>
      <c r="C131" s="23" t="s">
        <v>450</v>
      </c>
      <c r="D131" s="23" t="s">
        <v>93</v>
      </c>
      <c r="E131" s="23" t="s">
        <v>90</v>
      </c>
      <c r="F131" s="23" t="s">
        <v>94</v>
      </c>
      <c r="G131" s="23" t="s">
        <v>102</v>
      </c>
      <c r="H131" s="23">
        <v>2024</v>
      </c>
      <c r="I131" s="23" t="s">
        <v>28</v>
      </c>
      <c r="J131" s="24" t="s">
        <v>254</v>
      </c>
      <c r="K131" s="24" t="s">
        <v>104</v>
      </c>
      <c r="L131" s="23" t="s">
        <v>31</v>
      </c>
      <c r="M131" s="23" t="s">
        <v>451</v>
      </c>
      <c r="N131" s="4" t="str">
        <f>VLOOKUP(Tabla2[[#This Row],[No. ECO]],Hoja1!A:D,2,FALSE)</f>
        <v>GM-</v>
      </c>
      <c r="O131" s="4" t="s">
        <v>41</v>
      </c>
      <c r="P131" s="44">
        <v>45615</v>
      </c>
      <c r="Q131" s="4" t="s">
        <v>42</v>
      </c>
    </row>
    <row r="132" spans="1:17" x14ac:dyDescent="0.3">
      <c r="A132" s="4" t="str">
        <f>Tabla2[[#This Row],[TIPO2]]&amp;" "&amp;Tabla2[[#This Row],[ESTRUCTURA]]</f>
        <v>QUINTA BAJA 2.0 COTTRELL</v>
      </c>
      <c r="B132" s="22" t="s">
        <v>452</v>
      </c>
      <c r="C132" s="23" t="s">
        <v>453</v>
      </c>
      <c r="D132" s="23" t="s">
        <v>93</v>
      </c>
      <c r="E132" s="23" t="s">
        <v>90</v>
      </c>
      <c r="F132" s="23" t="s">
        <v>94</v>
      </c>
      <c r="G132" s="23" t="s">
        <v>102</v>
      </c>
      <c r="H132" s="23">
        <v>2024</v>
      </c>
      <c r="I132" s="23" t="s">
        <v>28</v>
      </c>
      <c r="J132" s="24" t="s">
        <v>254</v>
      </c>
      <c r="K132" s="24" t="s">
        <v>104</v>
      </c>
      <c r="L132" s="23" t="s">
        <v>31</v>
      </c>
      <c r="M132" s="23" t="s">
        <v>454</v>
      </c>
      <c r="N132" s="4" t="str">
        <f>VLOOKUP(Tabla2[[#This Row],[No. ECO]],Hoja1!A:D,2,FALSE)</f>
        <v>TY-EXP-</v>
      </c>
      <c r="O132" s="4" t="s">
        <v>41</v>
      </c>
      <c r="P132" s="44">
        <v>45546</v>
      </c>
      <c r="Q132" s="4" t="s">
        <v>47</v>
      </c>
    </row>
    <row r="133" spans="1:17" x14ac:dyDescent="0.3">
      <c r="A133" s="4" t="str">
        <f>Tabla2[[#This Row],[TIPO2]]&amp;" "&amp;Tabla2[[#This Row],[ESTRUCTURA]]</f>
        <v>QUINTA BAJA 2.0 COTTRELL</v>
      </c>
      <c r="B133" s="22" t="s">
        <v>455</v>
      </c>
      <c r="C133" s="23" t="s">
        <v>456</v>
      </c>
      <c r="D133" s="23" t="s">
        <v>93</v>
      </c>
      <c r="E133" s="23" t="s">
        <v>90</v>
      </c>
      <c r="F133" s="23" t="s">
        <v>94</v>
      </c>
      <c r="G133" s="23" t="s">
        <v>102</v>
      </c>
      <c r="H133" s="23">
        <v>2024</v>
      </c>
      <c r="I133" s="23" t="s">
        <v>28</v>
      </c>
      <c r="J133" s="24" t="s">
        <v>254</v>
      </c>
      <c r="K133" s="24" t="s">
        <v>104</v>
      </c>
      <c r="L133" s="23" t="s">
        <v>31</v>
      </c>
      <c r="M133" s="23" t="s">
        <v>457</v>
      </c>
      <c r="N133" s="4" t="str">
        <f>VLOOKUP(Tabla2[[#This Row],[No. ECO]],Hoja1!A:D,2,FALSE)</f>
        <v>MZ-</v>
      </c>
      <c r="O133" s="4" t="s">
        <v>41</v>
      </c>
      <c r="P133" s="44">
        <v>45532</v>
      </c>
      <c r="Q133" s="4" t="s">
        <v>47</v>
      </c>
    </row>
    <row r="134" spans="1:17" x14ac:dyDescent="0.3">
      <c r="A134" s="4" t="str">
        <f>Tabla2[[#This Row],[TIPO2]]&amp;" "&amp;Tabla2[[#This Row],[ESTRUCTURA]]</f>
        <v>QUINTA BAJA 2.0 COTTRELL</v>
      </c>
      <c r="B134" s="22" t="s">
        <v>458</v>
      </c>
      <c r="C134" s="23" t="s">
        <v>459</v>
      </c>
      <c r="D134" s="23" t="s">
        <v>93</v>
      </c>
      <c r="E134" s="23" t="s">
        <v>90</v>
      </c>
      <c r="F134" s="23" t="s">
        <v>94</v>
      </c>
      <c r="G134" s="23" t="s">
        <v>102</v>
      </c>
      <c r="H134" s="23">
        <v>2024</v>
      </c>
      <c r="I134" s="23" t="s">
        <v>28</v>
      </c>
      <c r="J134" s="24" t="s">
        <v>254</v>
      </c>
      <c r="K134" s="24" t="s">
        <v>104</v>
      </c>
      <c r="L134" s="23" t="s">
        <v>31</v>
      </c>
      <c r="M134" s="23" t="s">
        <v>460</v>
      </c>
      <c r="N134" s="4" t="str">
        <f>VLOOKUP(Tabla2[[#This Row],[No. ECO]],Hoja1!A:D,2,FALSE)</f>
        <v>GM-</v>
      </c>
      <c r="O134" s="4" t="s">
        <v>41</v>
      </c>
      <c r="P134" s="44">
        <v>45572</v>
      </c>
      <c r="Q134" s="4" t="s">
        <v>42</v>
      </c>
    </row>
    <row r="135" spans="1:17" x14ac:dyDescent="0.3">
      <c r="A135" s="4" t="str">
        <f>Tabla2[[#This Row],[TIPO2]]&amp;" "&amp;Tabla2[[#This Row],[ESTRUCTURA]]</f>
        <v>QUINTA BAJA 2.0 COTTRELL</v>
      </c>
      <c r="B135" s="15" t="s">
        <v>461</v>
      </c>
      <c r="C135" s="4" t="s">
        <v>462</v>
      </c>
      <c r="D135" s="4" t="s">
        <v>93</v>
      </c>
      <c r="E135" s="4" t="s">
        <v>90</v>
      </c>
      <c r="F135" s="4" t="s">
        <v>94</v>
      </c>
      <c r="G135" s="4" t="s">
        <v>102</v>
      </c>
      <c r="H135" s="4">
        <v>2024</v>
      </c>
      <c r="I135" s="4" t="s">
        <v>28</v>
      </c>
      <c r="J135" s="16" t="s">
        <v>254</v>
      </c>
      <c r="K135" s="16" t="s">
        <v>104</v>
      </c>
      <c r="L135" s="4" t="s">
        <v>31</v>
      </c>
      <c r="M135" s="4" t="s">
        <v>463</v>
      </c>
      <c r="N135" s="4" t="str">
        <f>VLOOKUP(Tabla2[[#This Row],[No. ECO]],Hoja1!A:D,2,FALSE)</f>
        <v>AU-</v>
      </c>
      <c r="O135" s="4" t="s">
        <v>33</v>
      </c>
      <c r="P135" s="44"/>
      <c r="Q135" s="4"/>
    </row>
    <row r="136" spans="1:17" x14ac:dyDescent="0.3">
      <c r="A136" s="4" t="str">
        <f>Tabla2[[#This Row],[TIPO2]]&amp;" "&amp;Tabla2[[#This Row],[ESTRUCTURA]]</f>
        <v>QUINTA BAJA 2.0 COTTRELL</v>
      </c>
      <c r="B136" s="22" t="s">
        <v>464</v>
      </c>
      <c r="C136" s="23" t="s">
        <v>465</v>
      </c>
      <c r="D136" s="23" t="s">
        <v>93</v>
      </c>
      <c r="E136" s="23" t="s">
        <v>90</v>
      </c>
      <c r="F136" s="23" t="s">
        <v>94</v>
      </c>
      <c r="G136" s="23" t="s">
        <v>102</v>
      </c>
      <c r="H136" s="23">
        <v>2024</v>
      </c>
      <c r="I136" s="23" t="s">
        <v>28</v>
      </c>
      <c r="J136" s="24" t="s">
        <v>254</v>
      </c>
      <c r="K136" s="24" t="s">
        <v>104</v>
      </c>
      <c r="L136" s="23" t="s">
        <v>31</v>
      </c>
      <c r="M136" s="23" t="s">
        <v>466</v>
      </c>
      <c r="N136" s="4" t="str">
        <f>VLOOKUP(Tabla2[[#This Row],[No. ECO]],Hoja1!A:D,2,FALSE)</f>
        <v>GM-</v>
      </c>
      <c r="O136" s="4" t="s">
        <v>33</v>
      </c>
      <c r="P136" s="44"/>
      <c r="Q136" s="4"/>
    </row>
    <row r="137" spans="1:17" x14ac:dyDescent="0.3">
      <c r="A137" s="4" t="str">
        <f>Tabla2[[#This Row],[TIPO2]]&amp;" "&amp;Tabla2[[#This Row],[ESTRUCTURA]]</f>
        <v>QUINTA BAJA 2.0 COTTRELL</v>
      </c>
      <c r="B137" s="22" t="s">
        <v>467</v>
      </c>
      <c r="C137" s="23" t="s">
        <v>468</v>
      </c>
      <c r="D137" s="23" t="s">
        <v>93</v>
      </c>
      <c r="E137" s="23" t="s">
        <v>90</v>
      </c>
      <c r="F137" s="23" t="s">
        <v>94</v>
      </c>
      <c r="G137" s="23" t="s">
        <v>102</v>
      </c>
      <c r="H137" s="23">
        <v>2024</v>
      </c>
      <c r="I137" s="23" t="s">
        <v>28</v>
      </c>
      <c r="J137" s="24" t="s">
        <v>254</v>
      </c>
      <c r="K137" s="24" t="s">
        <v>104</v>
      </c>
      <c r="L137" s="23" t="s">
        <v>31</v>
      </c>
      <c r="M137" s="23" t="s">
        <v>469</v>
      </c>
      <c r="N137" s="4" t="str">
        <f>VLOOKUP(Tabla2[[#This Row],[No. ECO]],Hoja1!A:D,2,FALSE)</f>
        <v>GM-</v>
      </c>
      <c r="O137" s="4" t="s">
        <v>41</v>
      </c>
      <c r="P137" s="44">
        <v>45574</v>
      </c>
      <c r="Q137" s="4" t="s">
        <v>42</v>
      </c>
    </row>
    <row r="138" spans="1:17" x14ac:dyDescent="0.3">
      <c r="A138" s="4" t="str">
        <f>Tabla2[[#This Row],[TIPO2]]&amp;" "&amp;Tabla2[[#This Row],[ESTRUCTURA]]</f>
        <v>QUINTA BAJA 2.0 COTTRELL</v>
      </c>
      <c r="B138" s="22" t="s">
        <v>470</v>
      </c>
      <c r="C138" s="23" t="s">
        <v>471</v>
      </c>
      <c r="D138" s="23" t="s">
        <v>93</v>
      </c>
      <c r="E138" s="23" t="s">
        <v>90</v>
      </c>
      <c r="F138" s="23" t="s">
        <v>94</v>
      </c>
      <c r="G138" s="23" t="s">
        <v>102</v>
      </c>
      <c r="H138" s="23">
        <v>2024</v>
      </c>
      <c r="I138" s="23" t="s">
        <v>28</v>
      </c>
      <c r="J138" s="24" t="s">
        <v>254</v>
      </c>
      <c r="K138" s="24" t="s">
        <v>104</v>
      </c>
      <c r="L138" s="23" t="s">
        <v>31</v>
      </c>
      <c r="M138" s="23" t="s">
        <v>472</v>
      </c>
      <c r="N138" s="4" t="str">
        <f>VLOOKUP(Tabla2[[#This Row],[No. ECO]],Hoja1!A:D,2,FALSE)</f>
        <v>MZ-</v>
      </c>
      <c r="O138" s="4" t="s">
        <v>41</v>
      </c>
      <c r="P138" s="44">
        <v>45573</v>
      </c>
      <c r="Q138" s="4" t="s">
        <v>47</v>
      </c>
    </row>
    <row r="139" spans="1:17" x14ac:dyDescent="0.3">
      <c r="A139" s="4" t="str">
        <f>Tabla2[[#This Row],[TIPO2]]&amp;" "&amp;Tabla2[[#This Row],[ESTRUCTURA]]</f>
        <v>QUINTA BAJA 2.0 COTTRELL</v>
      </c>
      <c r="B139" s="22" t="s">
        <v>473</v>
      </c>
      <c r="C139" s="23" t="s">
        <v>474</v>
      </c>
      <c r="D139" s="23" t="s">
        <v>93</v>
      </c>
      <c r="E139" s="23" t="s">
        <v>90</v>
      </c>
      <c r="F139" s="23" t="s">
        <v>94</v>
      </c>
      <c r="G139" s="23" t="s">
        <v>102</v>
      </c>
      <c r="H139" s="23">
        <v>2024</v>
      </c>
      <c r="I139" s="23" t="s">
        <v>28</v>
      </c>
      <c r="J139" s="24" t="s">
        <v>254</v>
      </c>
      <c r="K139" s="24" t="s">
        <v>104</v>
      </c>
      <c r="L139" s="23" t="s">
        <v>31</v>
      </c>
      <c r="M139" s="23" t="s">
        <v>475</v>
      </c>
      <c r="N139" s="4" t="str">
        <f>VLOOKUP(Tabla2[[#This Row],[No. ECO]],Hoja1!A:D,2,FALSE)</f>
        <v>TY-T-</v>
      </c>
      <c r="O139" s="4" t="s">
        <v>33</v>
      </c>
      <c r="P139" s="44"/>
      <c r="Q139" s="4"/>
    </row>
    <row r="140" spans="1:17" x14ac:dyDescent="0.3">
      <c r="A140" s="4" t="str">
        <f>Tabla2[[#This Row],[TIPO2]]&amp;" "&amp;Tabla2[[#This Row],[ESTRUCTURA]]</f>
        <v>QUINTA BAJA 2.0 COTTRELL</v>
      </c>
      <c r="B140" s="22" t="s">
        <v>476</v>
      </c>
      <c r="C140" s="23" t="s">
        <v>477</v>
      </c>
      <c r="D140" s="23" t="s">
        <v>93</v>
      </c>
      <c r="E140" s="23" t="s">
        <v>90</v>
      </c>
      <c r="F140" s="23" t="s">
        <v>94</v>
      </c>
      <c r="G140" s="23" t="s">
        <v>102</v>
      </c>
      <c r="H140" s="23">
        <v>2024</v>
      </c>
      <c r="I140" s="23" t="s">
        <v>28</v>
      </c>
      <c r="J140" s="24" t="s">
        <v>254</v>
      </c>
      <c r="K140" s="24" t="s">
        <v>104</v>
      </c>
      <c r="L140" s="23" t="s">
        <v>31</v>
      </c>
      <c r="M140" s="23" t="s">
        <v>478</v>
      </c>
      <c r="N140" s="4" t="str">
        <f>VLOOKUP(Tabla2[[#This Row],[No. ECO]],Hoja1!A:D,2,FALSE)</f>
        <v>BMW-</v>
      </c>
      <c r="O140" s="4" t="s">
        <v>41</v>
      </c>
      <c r="P140" s="44">
        <v>45595</v>
      </c>
      <c r="Q140" s="4" t="s">
        <v>42</v>
      </c>
    </row>
    <row r="141" spans="1:17" x14ac:dyDescent="0.3">
      <c r="A141" s="4" t="str">
        <f>Tabla2[[#This Row],[TIPO2]]&amp;" "&amp;Tabla2[[#This Row],[ESTRUCTURA]]</f>
        <v>QUINTA BAJA 2.0 COTTRELL</v>
      </c>
      <c r="B141" s="22" t="s">
        <v>479</v>
      </c>
      <c r="C141" s="23" t="s">
        <v>480</v>
      </c>
      <c r="D141" s="23" t="s">
        <v>93</v>
      </c>
      <c r="E141" s="23" t="s">
        <v>90</v>
      </c>
      <c r="F141" s="23" t="s">
        <v>94</v>
      </c>
      <c r="G141" s="23" t="s">
        <v>102</v>
      </c>
      <c r="H141" s="23">
        <v>2024</v>
      </c>
      <c r="I141" s="23" t="s">
        <v>28</v>
      </c>
      <c r="J141" s="24" t="s">
        <v>254</v>
      </c>
      <c r="K141" s="24" t="s">
        <v>104</v>
      </c>
      <c r="L141" s="23" t="s">
        <v>31</v>
      </c>
      <c r="M141" s="23" t="s">
        <v>481</v>
      </c>
      <c r="N141" s="4" t="str">
        <f>VLOOKUP(Tabla2[[#This Row],[No. ECO]],Hoja1!A:D,2,FALSE)</f>
        <v>TY-D-</v>
      </c>
      <c r="O141" s="4" t="s">
        <v>41</v>
      </c>
      <c r="P141" s="44">
        <v>45573</v>
      </c>
      <c r="Q141" s="4" t="s">
        <v>42</v>
      </c>
    </row>
    <row r="142" spans="1:17" x14ac:dyDescent="0.3">
      <c r="A142" s="4" t="str">
        <f>Tabla2[[#This Row],[TIPO2]]&amp;" "&amp;Tabla2[[#This Row],[ESTRUCTURA]]</f>
        <v>QUINTA BAJA 2.0 COTTRELL</v>
      </c>
      <c r="B142" s="22" t="s">
        <v>482</v>
      </c>
      <c r="C142" s="23" t="s">
        <v>483</v>
      </c>
      <c r="D142" s="23" t="s">
        <v>93</v>
      </c>
      <c r="E142" s="23" t="s">
        <v>90</v>
      </c>
      <c r="F142" s="23" t="s">
        <v>94</v>
      </c>
      <c r="G142" s="23" t="s">
        <v>102</v>
      </c>
      <c r="H142" s="23">
        <v>2024</v>
      </c>
      <c r="I142" s="23" t="s">
        <v>28</v>
      </c>
      <c r="J142" s="24" t="s">
        <v>254</v>
      </c>
      <c r="K142" s="24" t="s">
        <v>104</v>
      </c>
      <c r="L142" s="23" t="s">
        <v>31</v>
      </c>
      <c r="M142" s="23" t="s">
        <v>484</v>
      </c>
      <c r="N142" s="4" t="str">
        <f>VLOOKUP(Tabla2[[#This Row],[No. ECO]],Hoja1!A:D,2,FALSE)</f>
        <v>GM-</v>
      </c>
      <c r="O142" s="4" t="s">
        <v>41</v>
      </c>
      <c r="P142" s="44">
        <v>45572</v>
      </c>
      <c r="Q142" s="4" t="s">
        <v>42</v>
      </c>
    </row>
    <row r="143" spans="1:17" x14ac:dyDescent="0.3">
      <c r="A143" s="4" t="str">
        <f>Tabla2[[#This Row],[TIPO2]]&amp;" "&amp;Tabla2[[#This Row],[ESTRUCTURA]]</f>
        <v>QUINTA BAJA 2.0 COTTRELL</v>
      </c>
      <c r="B143" s="22" t="s">
        <v>485</v>
      </c>
      <c r="C143" s="23" t="s">
        <v>486</v>
      </c>
      <c r="D143" s="23" t="s">
        <v>93</v>
      </c>
      <c r="E143" s="23" t="s">
        <v>90</v>
      </c>
      <c r="F143" s="23" t="s">
        <v>94</v>
      </c>
      <c r="G143" s="23" t="s">
        <v>102</v>
      </c>
      <c r="H143" s="23">
        <v>2024</v>
      </c>
      <c r="I143" s="23" t="s">
        <v>28</v>
      </c>
      <c r="J143" s="24" t="s">
        <v>254</v>
      </c>
      <c r="K143" s="24" t="s">
        <v>104</v>
      </c>
      <c r="L143" s="23" t="s">
        <v>31</v>
      </c>
      <c r="M143" s="23" t="s">
        <v>487</v>
      </c>
      <c r="N143" s="4" t="str">
        <f>VLOOKUP(Tabla2[[#This Row],[No. ECO]],Hoja1!A:D,2,FALSE)</f>
        <v>BMW-</v>
      </c>
      <c r="O143" s="4" t="s">
        <v>41</v>
      </c>
      <c r="P143" s="44">
        <v>45609</v>
      </c>
      <c r="Q143" s="4" t="s">
        <v>42</v>
      </c>
    </row>
    <row r="144" spans="1:17" x14ac:dyDescent="0.3">
      <c r="A144" s="4" t="str">
        <f>Tabla2[[#This Row],[TIPO2]]&amp;" "&amp;Tabla2[[#This Row],[ESTRUCTURA]]</f>
        <v>QUINTA BAJA COTTRELL</v>
      </c>
      <c r="B144" s="22" t="s">
        <v>488</v>
      </c>
      <c r="C144" s="23" t="s">
        <v>489</v>
      </c>
      <c r="D144" s="23" t="s">
        <v>93</v>
      </c>
      <c r="E144" s="23" t="s">
        <v>90</v>
      </c>
      <c r="F144" s="23" t="s">
        <v>94</v>
      </c>
      <c r="G144" s="23" t="s">
        <v>102</v>
      </c>
      <c r="H144" s="23">
        <v>2024</v>
      </c>
      <c r="I144" s="23" t="s">
        <v>28</v>
      </c>
      <c r="J144" s="24" t="s">
        <v>103</v>
      </c>
      <c r="K144" s="24" t="s">
        <v>104</v>
      </c>
      <c r="L144" s="23" t="s">
        <v>97</v>
      </c>
      <c r="M144" s="23" t="s">
        <v>490</v>
      </c>
      <c r="N144" s="4" t="str">
        <f>VLOOKUP(Tabla2[[#This Row],[No. ECO]],Hoja1!A:D,2,FALSE)</f>
        <v>TY-EXP-</v>
      </c>
      <c r="O144" s="4" t="s">
        <v>41</v>
      </c>
      <c r="P144" s="44">
        <v>45553</v>
      </c>
      <c r="Q144" s="4" t="s">
        <v>47</v>
      </c>
    </row>
    <row r="145" spans="1:17" x14ac:dyDescent="0.3">
      <c r="A145" s="4" t="str">
        <f>Tabla2[[#This Row],[TIPO2]]&amp;" "&amp;Tabla2[[#This Row],[ESTRUCTURA]]</f>
        <v>QUINTA BAJA 2.0 COTTRELL</v>
      </c>
      <c r="B145" s="22" t="s">
        <v>491</v>
      </c>
      <c r="C145" s="23" t="s">
        <v>492</v>
      </c>
      <c r="D145" s="23" t="s">
        <v>93</v>
      </c>
      <c r="E145" s="23" t="s">
        <v>90</v>
      </c>
      <c r="F145" s="23" t="s">
        <v>94</v>
      </c>
      <c r="G145" s="23" t="s">
        <v>102</v>
      </c>
      <c r="H145" s="23">
        <v>2024</v>
      </c>
      <c r="I145" s="23" t="s">
        <v>28</v>
      </c>
      <c r="J145" s="24" t="s">
        <v>254</v>
      </c>
      <c r="K145" s="24" t="s">
        <v>104</v>
      </c>
      <c r="L145" s="23" t="s">
        <v>31</v>
      </c>
      <c r="M145" s="23" t="s">
        <v>493</v>
      </c>
      <c r="N145" s="4" t="str">
        <f>VLOOKUP(Tabla2[[#This Row],[No. ECO]],Hoja1!A:D,2,FALSE)</f>
        <v>TY-D-</v>
      </c>
      <c r="O145" s="4" t="s">
        <v>41</v>
      </c>
      <c r="P145" s="44">
        <v>45534</v>
      </c>
      <c r="Q145" s="4" t="s">
        <v>47</v>
      </c>
    </row>
    <row r="146" spans="1:17" x14ac:dyDescent="0.3">
      <c r="A146" s="4" t="str">
        <f>Tabla2[[#This Row],[TIPO2]]&amp;" "&amp;Tabla2[[#This Row],[ESTRUCTURA]]</f>
        <v>QUINTA BAJA COTTRELL</v>
      </c>
      <c r="B146" s="22" t="s">
        <v>494</v>
      </c>
      <c r="C146" s="23" t="s">
        <v>495</v>
      </c>
      <c r="D146" s="23" t="s">
        <v>93</v>
      </c>
      <c r="E146" s="23" t="s">
        <v>90</v>
      </c>
      <c r="F146" s="23" t="s">
        <v>94</v>
      </c>
      <c r="G146" s="23" t="s">
        <v>102</v>
      </c>
      <c r="H146" s="23">
        <v>2024</v>
      </c>
      <c r="I146" s="23" t="s">
        <v>28</v>
      </c>
      <c r="J146" s="24" t="s">
        <v>103</v>
      </c>
      <c r="K146" s="24" t="s">
        <v>104</v>
      </c>
      <c r="L146" s="23" t="s">
        <v>97</v>
      </c>
      <c r="M146" s="23" t="s">
        <v>496</v>
      </c>
      <c r="N146" s="4" t="str">
        <f>VLOOKUP(Tabla2[[#This Row],[No. ECO]],Hoja1!A:D,2,FALSE)</f>
        <v>GM-</v>
      </c>
      <c r="O146" s="4" t="s">
        <v>41</v>
      </c>
      <c r="P146" s="44">
        <v>45609</v>
      </c>
      <c r="Q146" s="4" t="s">
        <v>42</v>
      </c>
    </row>
    <row r="147" spans="1:17" x14ac:dyDescent="0.3">
      <c r="A147" s="14" t="str">
        <f>Tabla2[[#This Row],[TIPO2]]&amp;" "&amp;Tabla2[[#This Row],[ESTRUCTURA]]</f>
        <v>QUINTA BAJA COTTRELL</v>
      </c>
      <c r="B147" s="25" t="s">
        <v>497</v>
      </c>
      <c r="C147" s="26" t="s">
        <v>498</v>
      </c>
      <c r="D147" s="26" t="s">
        <v>93</v>
      </c>
      <c r="E147" s="26" t="s">
        <v>90</v>
      </c>
      <c r="F147" s="26" t="s">
        <v>94</v>
      </c>
      <c r="G147" s="26" t="s">
        <v>102</v>
      </c>
      <c r="H147" s="26">
        <v>2024</v>
      </c>
      <c r="I147" s="26" t="s">
        <v>28</v>
      </c>
      <c r="J147" s="27" t="s">
        <v>103</v>
      </c>
      <c r="K147" s="27" t="s">
        <v>104</v>
      </c>
      <c r="L147" s="26" t="s">
        <v>97</v>
      </c>
      <c r="M147" s="23" t="s">
        <v>499</v>
      </c>
      <c r="N147" s="4" t="str">
        <f>VLOOKUP(Tabla2[[#This Row],[No. ECO]],Hoja1!A:D,2,FALSE)</f>
        <v>TY-T-</v>
      </c>
      <c r="O147" s="4" t="s">
        <v>41</v>
      </c>
      <c r="P147" s="44">
        <v>45572</v>
      </c>
      <c r="Q147" s="4" t="s">
        <v>42</v>
      </c>
    </row>
    <row r="148" spans="1:17" x14ac:dyDescent="0.3">
      <c r="A148" s="14" t="str">
        <f>Tabla2[[#This Row],[TIPO2]]&amp;" "&amp;Tabla2[[#This Row],[ESTRUCTURA]]</f>
        <v>QUINTA BAJA COTTRELL</v>
      </c>
      <c r="B148" s="22" t="s">
        <v>500</v>
      </c>
      <c r="C148" s="23" t="s">
        <v>501</v>
      </c>
      <c r="D148" s="23" t="s">
        <v>93</v>
      </c>
      <c r="E148" s="23" t="s">
        <v>90</v>
      </c>
      <c r="F148" s="23" t="s">
        <v>94</v>
      </c>
      <c r="G148" s="23" t="s">
        <v>102</v>
      </c>
      <c r="H148" s="23">
        <v>2024</v>
      </c>
      <c r="I148" s="23" t="s">
        <v>28</v>
      </c>
      <c r="J148" s="27" t="s">
        <v>103</v>
      </c>
      <c r="K148" s="27" t="s">
        <v>104</v>
      </c>
      <c r="L148" s="26" t="s">
        <v>97</v>
      </c>
      <c r="M148" s="23" t="s">
        <v>502</v>
      </c>
      <c r="N148" s="4" t="str">
        <f>VLOOKUP(Tabla2[[#This Row],[No. ECO]],Hoja1!A:D,2,FALSE)</f>
        <v>TY-D-</v>
      </c>
      <c r="O148" s="4" t="s">
        <v>41</v>
      </c>
      <c r="P148" s="44">
        <v>45554</v>
      </c>
      <c r="Q148" s="4" t="s">
        <v>47</v>
      </c>
    </row>
    <row r="149" spans="1:17" x14ac:dyDescent="0.3">
      <c r="A149" s="4" t="str">
        <f>Tabla2[[#This Row],[TIPO2]]&amp;" "&amp;Tabla2[[#This Row],[ESTRUCTURA]]</f>
        <v>QUINTA BAJA COTTRELL</v>
      </c>
      <c r="B149" s="22" t="s">
        <v>503</v>
      </c>
      <c r="C149" s="23" t="s">
        <v>504</v>
      </c>
      <c r="D149" s="23" t="s">
        <v>93</v>
      </c>
      <c r="E149" s="23" t="s">
        <v>90</v>
      </c>
      <c r="F149" s="23" t="s">
        <v>94</v>
      </c>
      <c r="G149" s="23" t="s">
        <v>102</v>
      </c>
      <c r="H149" s="23">
        <v>2024</v>
      </c>
      <c r="I149" s="23" t="s">
        <v>28</v>
      </c>
      <c r="J149" s="24" t="s">
        <v>103</v>
      </c>
      <c r="K149" s="24" t="s">
        <v>104</v>
      </c>
      <c r="L149" s="23" t="s">
        <v>97</v>
      </c>
      <c r="M149" s="23" t="s">
        <v>505</v>
      </c>
      <c r="N149" s="4" t="str">
        <f>VLOOKUP(Tabla2[[#This Row],[No. ECO]],Hoja1!A:D,2,FALSE)</f>
        <v>SIN CLIENTE-</v>
      </c>
      <c r="O149" s="4" t="s">
        <v>33</v>
      </c>
      <c r="P149" s="44"/>
      <c r="Q149" s="4"/>
    </row>
    <row r="150" spans="1:17" x14ac:dyDescent="0.3">
      <c r="A150" s="4" t="str">
        <f>Tabla2[[#This Row],[TIPO2]]&amp;" "&amp;Tabla2[[#This Row],[ESTRUCTURA]]</f>
        <v>QUINTA BAJA COTTRELL</v>
      </c>
      <c r="B150" s="22" t="s">
        <v>506</v>
      </c>
      <c r="C150" s="23" t="s">
        <v>507</v>
      </c>
      <c r="D150" s="23" t="s">
        <v>93</v>
      </c>
      <c r="E150" s="23" t="s">
        <v>90</v>
      </c>
      <c r="F150" s="23" t="s">
        <v>94</v>
      </c>
      <c r="G150" s="23" t="s">
        <v>102</v>
      </c>
      <c r="H150" s="23">
        <v>2024</v>
      </c>
      <c r="I150" s="23" t="s">
        <v>28</v>
      </c>
      <c r="J150" s="24" t="s">
        <v>103</v>
      </c>
      <c r="K150" s="24" t="s">
        <v>104</v>
      </c>
      <c r="L150" s="23" t="s">
        <v>97</v>
      </c>
      <c r="M150" s="23" t="s">
        <v>508</v>
      </c>
      <c r="N150" s="4" t="str">
        <f>VLOOKUP(Tabla2[[#This Row],[No. ECO]],Hoja1!A:D,2,FALSE)</f>
        <v>GM-</v>
      </c>
      <c r="O150" s="4" t="s">
        <v>41</v>
      </c>
      <c r="P150" s="44">
        <v>45594</v>
      </c>
      <c r="Q150" s="4" t="s">
        <v>42</v>
      </c>
    </row>
    <row r="151" spans="1:17" x14ac:dyDescent="0.3">
      <c r="A151" s="4" t="str">
        <f>Tabla2[[#This Row],[TIPO2]]&amp;" "&amp;Tabla2[[#This Row],[ESTRUCTURA]]</f>
        <v>QUINTA BAJA 2.0 COTTRELL</v>
      </c>
      <c r="B151" s="22" t="s">
        <v>509</v>
      </c>
      <c r="C151" s="23" t="s">
        <v>510</v>
      </c>
      <c r="D151" s="23" t="s">
        <v>93</v>
      </c>
      <c r="E151" s="23" t="s">
        <v>90</v>
      </c>
      <c r="F151" s="23" t="s">
        <v>94</v>
      </c>
      <c r="G151" s="23" t="s">
        <v>102</v>
      </c>
      <c r="H151" s="23">
        <v>2024</v>
      </c>
      <c r="I151" s="23" t="s">
        <v>28</v>
      </c>
      <c r="J151" s="24" t="s">
        <v>254</v>
      </c>
      <c r="K151" s="24" t="s">
        <v>104</v>
      </c>
      <c r="L151" s="23" t="s">
        <v>31</v>
      </c>
      <c r="M151" s="23" t="s">
        <v>511</v>
      </c>
      <c r="N151" s="4" t="str">
        <f>VLOOKUP(Tabla2[[#This Row],[No. ECO]],Hoja1!A:D,2,FALSE)</f>
        <v>TY-T-</v>
      </c>
      <c r="O151" s="4" t="s">
        <v>41</v>
      </c>
      <c r="P151" s="44">
        <v>45541</v>
      </c>
      <c r="Q151" s="4" t="s">
        <v>47</v>
      </c>
    </row>
    <row r="152" spans="1:17" x14ac:dyDescent="0.3">
      <c r="A152" s="4" t="str">
        <f>Tabla2[[#This Row],[TIPO2]]&amp;" "&amp;Tabla2[[#This Row],[ESTRUCTURA]]</f>
        <v>QUINTA BAJA BOYDSTUN</v>
      </c>
      <c r="B152" s="22" t="s">
        <v>512</v>
      </c>
      <c r="C152" s="23" t="s">
        <v>513</v>
      </c>
      <c r="D152" s="23" t="s">
        <v>25</v>
      </c>
      <c r="E152" s="23" t="s">
        <v>38</v>
      </c>
      <c r="F152" s="23" t="s">
        <v>39</v>
      </c>
      <c r="G152" s="23">
        <v>4900</v>
      </c>
      <c r="H152" s="23">
        <v>2024</v>
      </c>
      <c r="I152" s="23" t="s">
        <v>514</v>
      </c>
      <c r="J152" s="24" t="s">
        <v>103</v>
      </c>
      <c r="K152" s="24" t="s">
        <v>515</v>
      </c>
      <c r="L152" s="23" t="s">
        <v>31</v>
      </c>
      <c r="M152" s="23" t="s">
        <v>516</v>
      </c>
      <c r="N152" s="4" t="str">
        <f>VLOOKUP(Tabla2[[#This Row],[No. ECO]],Hoja1!A:D,2,FALSE)</f>
        <v>DT-</v>
      </c>
      <c r="O152" s="4" t="s">
        <v>33</v>
      </c>
      <c r="P152" s="44"/>
      <c r="Q152" s="4"/>
    </row>
    <row r="153" spans="1:17" x14ac:dyDescent="0.3">
      <c r="A153" s="4" t="str">
        <f>Tabla2[[#This Row],[TIPO2]]&amp;" "&amp;Tabla2[[#This Row],[ESTRUCTURA]]</f>
        <v>QUINTA BAJA BOYDSTUN</v>
      </c>
      <c r="B153" s="22" t="s">
        <v>517</v>
      </c>
      <c r="C153" s="23" t="s">
        <v>518</v>
      </c>
      <c r="D153" s="23" t="s">
        <v>25</v>
      </c>
      <c r="E153" s="23" t="s">
        <v>38</v>
      </c>
      <c r="F153" s="23" t="s">
        <v>39</v>
      </c>
      <c r="G153" s="23">
        <v>4900</v>
      </c>
      <c r="H153" s="23">
        <v>2024</v>
      </c>
      <c r="I153" s="23" t="s">
        <v>514</v>
      </c>
      <c r="J153" s="24" t="s">
        <v>103</v>
      </c>
      <c r="K153" s="24" t="s">
        <v>515</v>
      </c>
      <c r="L153" s="23" t="s">
        <v>31</v>
      </c>
      <c r="M153" s="23" t="s">
        <v>519</v>
      </c>
      <c r="N153" s="4" t="str">
        <f>VLOOKUP(Tabla2[[#This Row],[No. ECO]],Hoja1!A:D,2,FALSE)</f>
        <v>MG-</v>
      </c>
      <c r="O153" s="4" t="s">
        <v>41</v>
      </c>
      <c r="P153" s="44">
        <v>45521</v>
      </c>
      <c r="Q153" s="4" t="s">
        <v>47</v>
      </c>
    </row>
    <row r="154" spans="1:17" x14ac:dyDescent="0.3">
      <c r="A154" s="4" t="str">
        <f>Tabla2[[#This Row],[TIPO2]]&amp;" "&amp;Tabla2[[#This Row],[ESTRUCTURA]]</f>
        <v>QUINTA BAJA BOYDSTUN</v>
      </c>
      <c r="B154" s="22" t="s">
        <v>520</v>
      </c>
      <c r="C154" s="23" t="s">
        <v>521</v>
      </c>
      <c r="D154" s="23" t="s">
        <v>25</v>
      </c>
      <c r="E154" s="23" t="s">
        <v>38</v>
      </c>
      <c r="F154" s="23" t="s">
        <v>39</v>
      </c>
      <c r="G154" s="23">
        <v>4900</v>
      </c>
      <c r="H154" s="23">
        <v>2024</v>
      </c>
      <c r="I154" s="23" t="s">
        <v>514</v>
      </c>
      <c r="J154" s="24" t="s">
        <v>103</v>
      </c>
      <c r="K154" s="24" t="s">
        <v>515</v>
      </c>
      <c r="L154" s="23" t="s">
        <v>31</v>
      </c>
      <c r="M154" s="23" t="s">
        <v>522</v>
      </c>
      <c r="N154" s="4" t="str">
        <f>VLOOKUP(Tabla2[[#This Row],[No. ECO]],Hoja1!A:D,2,FALSE)</f>
        <v>MG-</v>
      </c>
      <c r="O154" s="4" t="s">
        <v>33</v>
      </c>
      <c r="P154" s="44"/>
      <c r="Q154" s="4"/>
    </row>
    <row r="155" spans="1:17" x14ac:dyDescent="0.3">
      <c r="A155" s="4" t="str">
        <f>Tabla2[[#This Row],[TIPO2]]&amp;" "&amp;Tabla2[[#This Row],[ESTRUCTURA]]</f>
        <v>QUINTA BAJA BOYDSTUN</v>
      </c>
      <c r="B155" s="22" t="s">
        <v>523</v>
      </c>
      <c r="C155" s="23" t="s">
        <v>524</v>
      </c>
      <c r="D155" s="23" t="s">
        <v>25</v>
      </c>
      <c r="E155" s="23" t="s">
        <v>38</v>
      </c>
      <c r="F155" s="23" t="s">
        <v>39</v>
      </c>
      <c r="G155" s="23">
        <v>4900</v>
      </c>
      <c r="H155" s="23">
        <v>2024</v>
      </c>
      <c r="I155" s="23" t="s">
        <v>514</v>
      </c>
      <c r="J155" s="24" t="s">
        <v>103</v>
      </c>
      <c r="K155" s="24" t="s">
        <v>515</v>
      </c>
      <c r="L155" s="23" t="s">
        <v>31</v>
      </c>
      <c r="M155" s="23" t="s">
        <v>525</v>
      </c>
      <c r="N155" s="4" t="str">
        <f>VLOOKUP(Tabla2[[#This Row],[No. ECO]],Hoja1!A:D,2,FALSE)</f>
        <v>MG-</v>
      </c>
      <c r="O155" s="4" t="s">
        <v>33</v>
      </c>
      <c r="P155" s="44"/>
      <c r="Q155" s="4"/>
    </row>
    <row r="156" spans="1:17" x14ac:dyDescent="0.3">
      <c r="A156" s="4" t="str">
        <f>Tabla2[[#This Row],[TIPO2]]&amp;" "&amp;Tabla2[[#This Row],[ESTRUCTURA]]</f>
        <v>QUINTA BAJA BOYDSTUN</v>
      </c>
      <c r="B156" s="22" t="s">
        <v>526</v>
      </c>
      <c r="C156" s="23" t="s">
        <v>527</v>
      </c>
      <c r="D156" s="23" t="s">
        <v>25</v>
      </c>
      <c r="E156" s="23" t="s">
        <v>38</v>
      </c>
      <c r="F156" s="23" t="s">
        <v>39</v>
      </c>
      <c r="G156" s="23">
        <v>4900</v>
      </c>
      <c r="H156" s="23">
        <v>2024</v>
      </c>
      <c r="I156" s="23" t="s">
        <v>514</v>
      </c>
      <c r="J156" s="24" t="s">
        <v>103</v>
      </c>
      <c r="K156" s="24" t="s">
        <v>515</v>
      </c>
      <c r="L156" s="23" t="s">
        <v>31</v>
      </c>
      <c r="M156" s="23" t="s">
        <v>528</v>
      </c>
      <c r="N156" s="4" t="str">
        <f>VLOOKUP(Tabla2[[#This Row],[No. ECO]],Hoja1!A:D,2,FALSE)</f>
        <v>BMW-</v>
      </c>
      <c r="O156" s="4" t="s">
        <v>33</v>
      </c>
      <c r="P156" s="44"/>
      <c r="Q156" s="4"/>
    </row>
    <row r="157" spans="1:17" x14ac:dyDescent="0.3">
      <c r="A157" s="4" t="str">
        <f>Tabla2[[#This Row],[TIPO2]]&amp;" "&amp;Tabla2[[#This Row],[ESTRUCTURA]]</f>
        <v>QUINTA BAJA BOYDSTUN</v>
      </c>
      <c r="B157" s="22" t="s">
        <v>529</v>
      </c>
      <c r="C157" s="23" t="s">
        <v>530</v>
      </c>
      <c r="D157" s="23" t="s">
        <v>25</v>
      </c>
      <c r="E157" s="23" t="s">
        <v>38</v>
      </c>
      <c r="F157" s="23" t="s">
        <v>39</v>
      </c>
      <c r="G157" s="23">
        <v>4900</v>
      </c>
      <c r="H157" s="23">
        <v>2024</v>
      </c>
      <c r="I157" s="23" t="s">
        <v>514</v>
      </c>
      <c r="J157" s="24" t="s">
        <v>103</v>
      </c>
      <c r="K157" s="24" t="s">
        <v>515</v>
      </c>
      <c r="L157" s="23" t="s">
        <v>31</v>
      </c>
      <c r="M157" s="23" t="s">
        <v>531</v>
      </c>
      <c r="N157" s="4" t="str">
        <f>VLOOKUP(Tabla2[[#This Row],[No. ECO]],Hoja1!A:D,2,FALSE)</f>
        <v>BMW-</v>
      </c>
      <c r="O157" s="4" t="s">
        <v>41</v>
      </c>
      <c r="P157" s="44">
        <v>45596</v>
      </c>
      <c r="Q157" s="4" t="s">
        <v>42</v>
      </c>
    </row>
    <row r="158" spans="1:17" x14ac:dyDescent="0.3">
      <c r="A158" s="4" t="str">
        <f>Tabla2[[#This Row],[TIPO2]]&amp;" "&amp;Tabla2[[#This Row],[ESTRUCTURA]]</f>
        <v>QUINTA BAJA BOYDSTUN</v>
      </c>
      <c r="B158" s="22" t="s">
        <v>532</v>
      </c>
      <c r="C158" s="23" t="s">
        <v>533</v>
      </c>
      <c r="D158" s="23" t="s">
        <v>25</v>
      </c>
      <c r="E158" s="23" t="s">
        <v>38</v>
      </c>
      <c r="F158" s="23" t="s">
        <v>39</v>
      </c>
      <c r="G158" s="23">
        <v>4900</v>
      </c>
      <c r="H158" s="23">
        <v>2024</v>
      </c>
      <c r="I158" s="23" t="s">
        <v>514</v>
      </c>
      <c r="J158" s="24" t="s">
        <v>103</v>
      </c>
      <c r="K158" s="24" t="s">
        <v>515</v>
      </c>
      <c r="L158" s="23" t="s">
        <v>31</v>
      </c>
      <c r="M158" s="23" t="s">
        <v>534</v>
      </c>
      <c r="N158" s="4" t="str">
        <f>VLOOKUP(Tabla2[[#This Row],[No. ECO]],Hoja1!A:D,2,FALSE)</f>
        <v>BMW-</v>
      </c>
      <c r="O158" s="4" t="s">
        <v>33</v>
      </c>
      <c r="P158" s="44"/>
      <c r="Q158" s="4"/>
    </row>
    <row r="159" spans="1:17" x14ac:dyDescent="0.3">
      <c r="A159" s="4" t="str">
        <f>Tabla2[[#This Row],[TIPO2]]&amp;" "&amp;Tabla2[[#This Row],[ESTRUCTURA]]</f>
        <v>QUINTA BAJA BOYDSTUN</v>
      </c>
      <c r="B159" s="22" t="s">
        <v>535</v>
      </c>
      <c r="C159" s="23" t="s">
        <v>536</v>
      </c>
      <c r="D159" s="23" t="s">
        <v>25</v>
      </c>
      <c r="E159" s="23" t="s">
        <v>38</v>
      </c>
      <c r="F159" s="23" t="s">
        <v>39</v>
      </c>
      <c r="G159" s="23">
        <v>4900</v>
      </c>
      <c r="H159" s="23">
        <v>2024</v>
      </c>
      <c r="I159" s="23" t="s">
        <v>514</v>
      </c>
      <c r="J159" s="24" t="s">
        <v>103</v>
      </c>
      <c r="K159" s="24" t="s">
        <v>515</v>
      </c>
      <c r="L159" s="23" t="s">
        <v>31</v>
      </c>
      <c r="M159" s="23" t="s">
        <v>537</v>
      </c>
      <c r="N159" s="4" t="str">
        <f>VLOOKUP(Tabla2[[#This Row],[No. ECO]],Hoja1!A:D,2,FALSE)</f>
        <v>DT-</v>
      </c>
      <c r="O159" s="4" t="s">
        <v>41</v>
      </c>
      <c r="P159" s="44">
        <v>45505</v>
      </c>
      <c r="Q159" s="4" t="s">
        <v>42</v>
      </c>
    </row>
    <row r="160" spans="1:17" x14ac:dyDescent="0.3">
      <c r="A160" s="4" t="str">
        <f>Tabla2[[#This Row],[TIPO2]]&amp;" "&amp;Tabla2[[#This Row],[ESTRUCTURA]]</f>
        <v>QUINTA BAJA BOYDSTUN</v>
      </c>
      <c r="B160" s="22" t="s">
        <v>538</v>
      </c>
      <c r="C160" s="23" t="s">
        <v>539</v>
      </c>
      <c r="D160" s="23" t="s">
        <v>25</v>
      </c>
      <c r="E160" s="23" t="s">
        <v>38</v>
      </c>
      <c r="F160" s="23" t="s">
        <v>39</v>
      </c>
      <c r="G160" s="23">
        <v>4900</v>
      </c>
      <c r="H160" s="23">
        <v>2024</v>
      </c>
      <c r="I160" s="23" t="s">
        <v>514</v>
      </c>
      <c r="J160" s="24" t="s">
        <v>103</v>
      </c>
      <c r="K160" s="24" t="s">
        <v>515</v>
      </c>
      <c r="L160" s="23" t="s">
        <v>31</v>
      </c>
      <c r="M160" s="23" t="s">
        <v>540</v>
      </c>
      <c r="N160" s="4" t="str">
        <f>VLOOKUP(Tabla2[[#This Row],[No. ECO]],Hoja1!A:D,2,FALSE)</f>
        <v>MG-</v>
      </c>
      <c r="O160" s="4" t="s">
        <v>33</v>
      </c>
      <c r="P160" s="44"/>
      <c r="Q160" s="4"/>
    </row>
    <row r="161" spans="1:17" x14ac:dyDescent="0.3">
      <c r="A161" s="4" t="str">
        <f>Tabla2[[#This Row],[TIPO2]]&amp;" "&amp;Tabla2[[#This Row],[ESTRUCTURA]]</f>
        <v>QUINTA BAJA BOYDSTUN</v>
      </c>
      <c r="B161" s="22" t="s">
        <v>541</v>
      </c>
      <c r="C161" s="23" t="s">
        <v>542</v>
      </c>
      <c r="D161" s="23" t="s">
        <v>25</v>
      </c>
      <c r="E161" s="23" t="s">
        <v>38</v>
      </c>
      <c r="F161" s="23" t="s">
        <v>39</v>
      </c>
      <c r="G161" s="23">
        <v>4900</v>
      </c>
      <c r="H161" s="23">
        <v>2024</v>
      </c>
      <c r="I161" s="23" t="s">
        <v>514</v>
      </c>
      <c r="J161" s="24" t="s">
        <v>103</v>
      </c>
      <c r="K161" s="24" t="s">
        <v>515</v>
      </c>
      <c r="L161" s="23" t="s">
        <v>31</v>
      </c>
      <c r="M161" s="23" t="s">
        <v>543</v>
      </c>
      <c r="N161" s="4" t="str">
        <f>VLOOKUP(Tabla2[[#This Row],[No. ECO]],Hoja1!A:D,2,FALSE)</f>
        <v>MG-</v>
      </c>
      <c r="O161" s="4" t="s">
        <v>33</v>
      </c>
      <c r="P161" s="44"/>
      <c r="Q161" s="4"/>
    </row>
    <row r="162" spans="1:17" x14ac:dyDescent="0.3">
      <c r="A162" s="4" t="str">
        <f>Tabla2[[#This Row],[TIPO2]]&amp;" "&amp;Tabla2[[#This Row],[ESTRUCTURA]]</f>
        <v>QUINTA BAJA BOYDSTUN</v>
      </c>
      <c r="B162" s="22" t="s">
        <v>544</v>
      </c>
      <c r="C162" s="23" t="s">
        <v>545</v>
      </c>
      <c r="D162" s="23" t="s">
        <v>25</v>
      </c>
      <c r="E162" s="23" t="s">
        <v>38</v>
      </c>
      <c r="F162" s="23" t="s">
        <v>39</v>
      </c>
      <c r="G162" s="23">
        <v>4900</v>
      </c>
      <c r="H162" s="23">
        <v>2024</v>
      </c>
      <c r="I162" s="23" t="s">
        <v>514</v>
      </c>
      <c r="J162" s="24" t="s">
        <v>103</v>
      </c>
      <c r="K162" s="24" t="s">
        <v>515</v>
      </c>
      <c r="L162" s="23" t="s">
        <v>31</v>
      </c>
      <c r="M162" s="23" t="s">
        <v>546</v>
      </c>
      <c r="N162" s="4" t="str">
        <f>VLOOKUP(Tabla2[[#This Row],[No. ECO]],Hoja1!A:D,2,FALSE)</f>
        <v>MG-</v>
      </c>
      <c r="O162" s="4" t="s">
        <v>33</v>
      </c>
      <c r="P162" s="44"/>
      <c r="Q162" s="4"/>
    </row>
    <row r="163" spans="1:17" x14ac:dyDescent="0.3">
      <c r="A163" s="4" t="str">
        <f>Tabla2[[#This Row],[TIPO2]]&amp;" "&amp;Tabla2[[#This Row],[ESTRUCTURA]]</f>
        <v>QUINTA BAJA BOYDSTUN</v>
      </c>
      <c r="B163" s="22" t="s">
        <v>547</v>
      </c>
      <c r="C163" s="23" t="s">
        <v>548</v>
      </c>
      <c r="D163" s="23" t="s">
        <v>25</v>
      </c>
      <c r="E163" s="23" t="s">
        <v>38</v>
      </c>
      <c r="F163" s="23" t="s">
        <v>39</v>
      </c>
      <c r="G163" s="23">
        <v>4900</v>
      </c>
      <c r="H163" s="23">
        <v>2024</v>
      </c>
      <c r="I163" s="23" t="s">
        <v>514</v>
      </c>
      <c r="J163" s="24" t="s">
        <v>103</v>
      </c>
      <c r="K163" s="24" t="s">
        <v>515</v>
      </c>
      <c r="L163" s="23" t="s">
        <v>31</v>
      </c>
      <c r="M163" s="23" t="s">
        <v>549</v>
      </c>
      <c r="N163" s="4" t="str">
        <f>VLOOKUP(Tabla2[[#This Row],[No. ECO]],Hoja1!A:D,2,FALSE)</f>
        <v>MG-</v>
      </c>
      <c r="O163" s="4" t="s">
        <v>33</v>
      </c>
      <c r="P163" s="44"/>
      <c r="Q163" s="4"/>
    </row>
    <row r="164" spans="1:17" x14ac:dyDescent="0.3">
      <c r="A164" s="4" t="str">
        <f>Tabla2[[#This Row],[TIPO2]]&amp;" "&amp;Tabla2[[#This Row],[ESTRUCTURA]]</f>
        <v>QUINTA BAJA BOYDSTUN</v>
      </c>
      <c r="B164" s="22" t="s">
        <v>550</v>
      </c>
      <c r="C164" s="23" t="s">
        <v>551</v>
      </c>
      <c r="D164" s="23" t="s">
        <v>25</v>
      </c>
      <c r="E164" s="23" t="s">
        <v>38</v>
      </c>
      <c r="F164" s="23" t="s">
        <v>39</v>
      </c>
      <c r="G164" s="23">
        <v>4900</v>
      </c>
      <c r="H164" s="23">
        <v>2024</v>
      </c>
      <c r="I164" s="23" t="s">
        <v>514</v>
      </c>
      <c r="J164" s="24" t="s">
        <v>103</v>
      </c>
      <c r="K164" s="24" t="s">
        <v>515</v>
      </c>
      <c r="L164" s="23" t="s">
        <v>31</v>
      </c>
      <c r="M164" s="23" t="s">
        <v>552</v>
      </c>
      <c r="N164" s="4" t="str">
        <f>VLOOKUP(Tabla2[[#This Row],[No. ECO]],Hoja1!A:D,2,FALSE)</f>
        <v>BMW-</v>
      </c>
      <c r="O164" s="4" t="s">
        <v>41</v>
      </c>
      <c r="P164" s="44">
        <v>45587</v>
      </c>
      <c r="Q164" s="4" t="s">
        <v>42</v>
      </c>
    </row>
    <row r="165" spans="1:17" x14ac:dyDescent="0.3">
      <c r="A165" s="4" t="str">
        <f>Tabla2[[#This Row],[TIPO2]]&amp;" "&amp;Tabla2[[#This Row],[ESTRUCTURA]]</f>
        <v>QUINTA BAJA BOYDSTUN</v>
      </c>
      <c r="B165" s="22" t="s">
        <v>553</v>
      </c>
      <c r="C165" s="23" t="s">
        <v>554</v>
      </c>
      <c r="D165" s="23" t="s">
        <v>25</v>
      </c>
      <c r="E165" s="23" t="s">
        <v>38</v>
      </c>
      <c r="F165" s="23" t="s">
        <v>39</v>
      </c>
      <c r="G165" s="23">
        <v>4900</v>
      </c>
      <c r="H165" s="23">
        <v>2024</v>
      </c>
      <c r="I165" s="23" t="s">
        <v>514</v>
      </c>
      <c r="J165" s="24" t="s">
        <v>103</v>
      </c>
      <c r="K165" s="24" t="s">
        <v>515</v>
      </c>
      <c r="L165" s="23" t="s">
        <v>31</v>
      </c>
      <c r="M165" s="23" t="s">
        <v>555</v>
      </c>
      <c r="N165" s="4" t="str">
        <f>VLOOKUP(Tabla2[[#This Row],[No. ECO]],Hoja1!A:D,2,FALSE)</f>
        <v>MG-</v>
      </c>
      <c r="O165" s="4" t="s">
        <v>41</v>
      </c>
      <c r="P165" s="44">
        <v>45594</v>
      </c>
      <c r="Q165" s="4" t="s">
        <v>42</v>
      </c>
    </row>
    <row r="166" spans="1:17" x14ac:dyDescent="0.3">
      <c r="A166" s="4" t="str">
        <f>Tabla2[[#This Row],[TIPO2]]&amp;" "&amp;Tabla2[[#This Row],[ESTRUCTURA]]</f>
        <v>QUINTA BAJA BOYDSTUN</v>
      </c>
      <c r="B166" s="22" t="s">
        <v>556</v>
      </c>
      <c r="C166" s="23" t="s">
        <v>557</v>
      </c>
      <c r="D166" s="23" t="s">
        <v>25</v>
      </c>
      <c r="E166" s="23" t="s">
        <v>38</v>
      </c>
      <c r="F166" s="23" t="s">
        <v>39</v>
      </c>
      <c r="G166" s="23">
        <v>4900</v>
      </c>
      <c r="H166" s="23">
        <v>2024</v>
      </c>
      <c r="I166" s="23" t="s">
        <v>514</v>
      </c>
      <c r="J166" s="24" t="s">
        <v>103</v>
      </c>
      <c r="K166" s="24" t="s">
        <v>515</v>
      </c>
      <c r="L166" s="23" t="s">
        <v>31</v>
      </c>
      <c r="M166" s="23" t="s">
        <v>558</v>
      </c>
      <c r="N166" s="4" t="str">
        <f>VLOOKUP(Tabla2[[#This Row],[No. ECO]],Hoja1!A:D,2,FALSE)</f>
        <v>BMW-</v>
      </c>
      <c r="O166" s="4" t="s">
        <v>33</v>
      </c>
      <c r="P166" s="44"/>
      <c r="Q166" s="4"/>
    </row>
    <row r="167" spans="1:17" x14ac:dyDescent="0.3">
      <c r="A167" s="4" t="str">
        <f>Tabla2[[#This Row],[TIPO2]]&amp;" "&amp;Tabla2[[#This Row],[ESTRUCTURA]]</f>
        <v>QUINTA BAJA WS COTTRELL</v>
      </c>
      <c r="B167" s="22" t="s">
        <v>559</v>
      </c>
      <c r="C167" s="23" t="s">
        <v>560</v>
      </c>
      <c r="D167" s="23" t="s">
        <v>25</v>
      </c>
      <c r="E167" s="23" t="s">
        <v>38</v>
      </c>
      <c r="F167" s="23" t="s">
        <v>39</v>
      </c>
      <c r="G167" s="23">
        <v>4900</v>
      </c>
      <c r="H167" s="23">
        <v>2024</v>
      </c>
      <c r="I167" s="23" t="s">
        <v>28</v>
      </c>
      <c r="J167" s="24" t="s">
        <v>29</v>
      </c>
      <c r="K167" s="24" t="s">
        <v>30</v>
      </c>
      <c r="L167" s="23" t="s">
        <v>31</v>
      </c>
      <c r="M167" s="23" t="s">
        <v>561</v>
      </c>
      <c r="N167" s="4" t="str">
        <f>VLOOKUP(Tabla2[[#This Row],[No. ECO]],Hoja1!A:D,2,FALSE)</f>
        <v>MG-</v>
      </c>
      <c r="O167" s="4" t="s">
        <v>33</v>
      </c>
      <c r="P167" s="44"/>
      <c r="Q167" s="4"/>
    </row>
    <row r="168" spans="1:17" x14ac:dyDescent="0.3">
      <c r="A168" s="4" t="str">
        <f>Tabla2[[#This Row],[TIPO2]]&amp;" "&amp;Tabla2[[#This Row],[ESTRUCTURA]]</f>
        <v>QUINTA BAJA WS COTTRELL</v>
      </c>
      <c r="B168" s="22" t="s">
        <v>562</v>
      </c>
      <c r="C168" s="23" t="s">
        <v>563</v>
      </c>
      <c r="D168" s="23" t="s">
        <v>25</v>
      </c>
      <c r="E168" s="23" t="s">
        <v>38</v>
      </c>
      <c r="F168" s="23" t="s">
        <v>39</v>
      </c>
      <c r="G168" s="23">
        <v>4900</v>
      </c>
      <c r="H168" s="23">
        <v>2024</v>
      </c>
      <c r="I168" s="23" t="s">
        <v>28</v>
      </c>
      <c r="J168" s="24" t="s">
        <v>29</v>
      </c>
      <c r="K168" s="24" t="s">
        <v>30</v>
      </c>
      <c r="L168" s="23" t="s">
        <v>31</v>
      </c>
      <c r="M168" s="23" t="s">
        <v>564</v>
      </c>
      <c r="N168" s="4" t="str">
        <f>VLOOKUP(Tabla2[[#This Row],[No. ECO]],Hoja1!A:D,2,FALSE)</f>
        <v>MG-</v>
      </c>
      <c r="O168" s="4" t="s">
        <v>33</v>
      </c>
      <c r="P168" s="44"/>
      <c r="Q168" s="4"/>
    </row>
    <row r="169" spans="1:17" x14ac:dyDescent="0.3">
      <c r="A169" s="4" t="str">
        <f>Tabla2[[#This Row],[TIPO2]]&amp;" "&amp;Tabla2[[#This Row],[ESTRUCTURA]]</f>
        <v>QUINTA BAJA WS COTTRELL</v>
      </c>
      <c r="B169" s="22" t="s">
        <v>565</v>
      </c>
      <c r="C169" s="23" t="s">
        <v>566</v>
      </c>
      <c r="D169" s="23" t="s">
        <v>25</v>
      </c>
      <c r="E169" s="23" t="s">
        <v>38</v>
      </c>
      <c r="F169" s="23" t="s">
        <v>39</v>
      </c>
      <c r="G169" s="23">
        <v>4900</v>
      </c>
      <c r="H169" s="23">
        <v>2024</v>
      </c>
      <c r="I169" s="23" t="s">
        <v>28</v>
      </c>
      <c r="J169" s="24" t="s">
        <v>29</v>
      </c>
      <c r="K169" s="24" t="s">
        <v>30</v>
      </c>
      <c r="L169" s="23" t="s">
        <v>31</v>
      </c>
      <c r="M169" s="23" t="s">
        <v>567</v>
      </c>
      <c r="N169" s="4" t="str">
        <f>VLOOKUP(Tabla2[[#This Row],[No. ECO]],Hoja1!A:D,2,FALSE)</f>
        <v>DT-</v>
      </c>
      <c r="O169" s="4" t="s">
        <v>33</v>
      </c>
      <c r="P169" s="44"/>
      <c r="Q169" s="4"/>
    </row>
    <row r="170" spans="1:17" x14ac:dyDescent="0.3">
      <c r="A170" s="4" t="str">
        <f>Tabla2[[#This Row],[TIPO2]]&amp;" "&amp;Tabla2[[#This Row],[ESTRUCTURA]]</f>
        <v>QUINTA BAJA WS COTTRELL</v>
      </c>
      <c r="B170" s="22" t="s">
        <v>568</v>
      </c>
      <c r="C170" s="23" t="s">
        <v>569</v>
      </c>
      <c r="D170" s="23" t="s">
        <v>25</v>
      </c>
      <c r="E170" s="23" t="s">
        <v>38</v>
      </c>
      <c r="F170" s="23" t="s">
        <v>39</v>
      </c>
      <c r="G170" s="23">
        <v>4900</v>
      </c>
      <c r="H170" s="23">
        <v>2024</v>
      </c>
      <c r="I170" s="23" t="s">
        <v>28</v>
      </c>
      <c r="J170" s="24" t="s">
        <v>29</v>
      </c>
      <c r="K170" s="24" t="s">
        <v>30</v>
      </c>
      <c r="L170" s="23" t="s">
        <v>31</v>
      </c>
      <c r="M170" s="23" t="s">
        <v>570</v>
      </c>
      <c r="N170" s="4" t="str">
        <f>VLOOKUP(Tabla2[[#This Row],[No. ECO]],Hoja1!A:D,2,FALSE)</f>
        <v>MG-</v>
      </c>
      <c r="O170" s="4" t="s">
        <v>41</v>
      </c>
      <c r="P170" s="44">
        <v>45521</v>
      </c>
      <c r="Q170" s="4" t="s">
        <v>47</v>
      </c>
    </row>
    <row r="171" spans="1:17" x14ac:dyDescent="0.3">
      <c r="A171" s="4" t="str">
        <f>Tabla2[[#This Row],[TIPO2]]&amp;" "&amp;Tabla2[[#This Row],[ESTRUCTURA]]</f>
        <v>QUINTA BAJA WS COTTRELL</v>
      </c>
      <c r="B171" s="22" t="s">
        <v>571</v>
      </c>
      <c r="C171" s="23" t="s">
        <v>572</v>
      </c>
      <c r="D171" s="23" t="s">
        <v>25</v>
      </c>
      <c r="E171" s="23" t="s">
        <v>38</v>
      </c>
      <c r="F171" s="23" t="s">
        <v>39</v>
      </c>
      <c r="G171" s="23">
        <v>4900</v>
      </c>
      <c r="H171" s="23">
        <v>2024</v>
      </c>
      <c r="I171" s="23" t="s">
        <v>28</v>
      </c>
      <c r="J171" s="24" t="s">
        <v>29</v>
      </c>
      <c r="K171" s="24" t="s">
        <v>30</v>
      </c>
      <c r="L171" s="23" t="s">
        <v>31</v>
      </c>
      <c r="M171" s="23" t="s">
        <v>573</v>
      </c>
      <c r="N171" s="4" t="str">
        <f>VLOOKUP(Tabla2[[#This Row],[No. ECO]],Hoja1!A:D,2,FALSE)</f>
        <v>MG-</v>
      </c>
      <c r="O171" s="4" t="s">
        <v>33</v>
      </c>
      <c r="P171" s="44"/>
      <c r="Q171" s="4"/>
    </row>
    <row r="172" spans="1:17" x14ac:dyDescent="0.3">
      <c r="A172" s="4" t="str">
        <f>Tabla2[[#This Row],[TIPO2]]&amp;" "&amp;Tabla2[[#This Row],[ESTRUCTURA]]</f>
        <v>QUINTA BAJA WS COTTRELL</v>
      </c>
      <c r="B172" s="22" t="s">
        <v>574</v>
      </c>
      <c r="C172" s="23" t="s">
        <v>575</v>
      </c>
      <c r="D172" s="23" t="s">
        <v>25</v>
      </c>
      <c r="E172" s="23" t="s">
        <v>38</v>
      </c>
      <c r="F172" s="23" t="s">
        <v>39</v>
      </c>
      <c r="G172" s="23">
        <v>4900</v>
      </c>
      <c r="H172" s="23">
        <v>2024</v>
      </c>
      <c r="I172" s="23" t="s">
        <v>28</v>
      </c>
      <c r="J172" s="24" t="s">
        <v>29</v>
      </c>
      <c r="K172" s="24" t="s">
        <v>30</v>
      </c>
      <c r="L172" s="23" t="s">
        <v>31</v>
      </c>
      <c r="M172" s="23" t="s">
        <v>576</v>
      </c>
      <c r="N172" s="4" t="str">
        <f>VLOOKUP(Tabla2[[#This Row],[No. ECO]],Hoja1!A:D,2,FALSE)</f>
        <v>MG-</v>
      </c>
      <c r="O172" s="4" t="s">
        <v>41</v>
      </c>
      <c r="P172" s="44">
        <v>45572</v>
      </c>
      <c r="Q172" s="4" t="s">
        <v>42</v>
      </c>
    </row>
    <row r="173" spans="1:17" x14ac:dyDescent="0.3">
      <c r="A173" s="4" t="str">
        <f>Tabla2[[#This Row],[TIPO2]]&amp;" "&amp;Tabla2[[#This Row],[ESTRUCTURA]]</f>
        <v>QUINTA BAJA WS COTTRELL</v>
      </c>
      <c r="B173" s="22" t="s">
        <v>577</v>
      </c>
      <c r="C173" s="23" t="s">
        <v>578</v>
      </c>
      <c r="D173" s="23" t="s">
        <v>25</v>
      </c>
      <c r="E173" s="23" t="s">
        <v>38</v>
      </c>
      <c r="F173" s="23" t="s">
        <v>39</v>
      </c>
      <c r="G173" s="23">
        <v>4900</v>
      </c>
      <c r="H173" s="23">
        <v>2024</v>
      </c>
      <c r="I173" s="23" t="s">
        <v>28</v>
      </c>
      <c r="J173" s="24" t="s">
        <v>29</v>
      </c>
      <c r="K173" s="24" t="s">
        <v>30</v>
      </c>
      <c r="L173" s="23" t="s">
        <v>31</v>
      </c>
      <c r="M173" s="23" t="s">
        <v>579</v>
      </c>
      <c r="N173" s="4" t="str">
        <f>VLOOKUP(Tabla2[[#This Row],[No. ECO]],Hoja1!A:D,2,FALSE)</f>
        <v>BMW-</v>
      </c>
      <c r="O173" s="4" t="s">
        <v>33</v>
      </c>
      <c r="P173" s="44"/>
      <c r="Q173" s="4"/>
    </row>
    <row r="174" spans="1:17" x14ac:dyDescent="0.3">
      <c r="A174" s="4" t="str">
        <f>Tabla2[[#This Row],[TIPO2]]&amp;" "&amp;Tabla2[[#This Row],[ESTRUCTURA]]</f>
        <v>QUINTA BAJA WS COTTRELL</v>
      </c>
      <c r="B174" s="22" t="s">
        <v>580</v>
      </c>
      <c r="C174" s="23" t="s">
        <v>581</v>
      </c>
      <c r="D174" s="23" t="s">
        <v>25</v>
      </c>
      <c r="E174" s="23" t="s">
        <v>38</v>
      </c>
      <c r="F174" s="23" t="s">
        <v>39</v>
      </c>
      <c r="G174" s="23">
        <v>4900</v>
      </c>
      <c r="H174" s="23">
        <v>2024</v>
      </c>
      <c r="I174" s="23" t="s">
        <v>28</v>
      </c>
      <c r="J174" s="24" t="s">
        <v>29</v>
      </c>
      <c r="K174" s="24" t="s">
        <v>30</v>
      </c>
      <c r="L174" s="23" t="s">
        <v>31</v>
      </c>
      <c r="M174" s="23" t="s">
        <v>582</v>
      </c>
      <c r="N174" s="4" t="str">
        <f>VLOOKUP(Tabla2[[#This Row],[No. ECO]],Hoja1!A:D,2,FALSE)</f>
        <v>MG-</v>
      </c>
      <c r="O174" s="4" t="s">
        <v>33</v>
      </c>
      <c r="P174" s="44"/>
      <c r="Q174" s="4"/>
    </row>
    <row r="175" spans="1:17" x14ac:dyDescent="0.3">
      <c r="A175" s="4" t="str">
        <f>Tabla2[[#This Row],[TIPO2]]&amp;" "&amp;Tabla2[[#This Row],[ESTRUCTURA]]</f>
        <v>QUINTA BAJA BOYDSTUN</v>
      </c>
      <c r="B175" s="22" t="s">
        <v>583</v>
      </c>
      <c r="C175" s="23" t="s">
        <v>584</v>
      </c>
      <c r="D175" s="23" t="s">
        <v>25</v>
      </c>
      <c r="E175" s="23" t="s">
        <v>38</v>
      </c>
      <c r="F175" s="23" t="s">
        <v>39</v>
      </c>
      <c r="G175" s="23">
        <v>4900</v>
      </c>
      <c r="H175" s="23">
        <v>2024</v>
      </c>
      <c r="I175" s="23" t="s">
        <v>514</v>
      </c>
      <c r="J175" s="24" t="s">
        <v>103</v>
      </c>
      <c r="K175" s="24" t="s">
        <v>515</v>
      </c>
      <c r="L175" s="23" t="s">
        <v>31</v>
      </c>
      <c r="M175" s="23" t="s">
        <v>585</v>
      </c>
      <c r="N175" s="4" t="str">
        <f>VLOOKUP(Tabla2[[#This Row],[No. ECO]],Hoja1!A:D,2,FALSE)</f>
        <v>BMW-</v>
      </c>
      <c r="O175" s="4" t="s">
        <v>41</v>
      </c>
      <c r="P175" s="44">
        <v>45596</v>
      </c>
      <c r="Q175" s="4" t="s">
        <v>42</v>
      </c>
    </row>
    <row r="176" spans="1:17" x14ac:dyDescent="0.3">
      <c r="A176" s="4" t="str">
        <f>Tabla2[[#This Row],[TIPO2]]&amp;" "&amp;Tabla2[[#This Row],[ESTRUCTURA]]</f>
        <v>QUINTA BAJA BOYDSTUN</v>
      </c>
      <c r="B176" s="22" t="s">
        <v>586</v>
      </c>
      <c r="C176" s="23" t="s">
        <v>587</v>
      </c>
      <c r="D176" s="23" t="s">
        <v>25</v>
      </c>
      <c r="E176" s="23" t="s">
        <v>38</v>
      </c>
      <c r="F176" s="23" t="s">
        <v>39</v>
      </c>
      <c r="G176" s="23">
        <v>4900</v>
      </c>
      <c r="H176" s="23">
        <v>2024</v>
      </c>
      <c r="I176" s="23" t="s">
        <v>514</v>
      </c>
      <c r="J176" s="24" t="s">
        <v>103</v>
      </c>
      <c r="K176" s="24" t="s">
        <v>515</v>
      </c>
      <c r="L176" s="23" t="s">
        <v>31</v>
      </c>
      <c r="M176" s="23" t="s">
        <v>588</v>
      </c>
      <c r="N176" s="4" t="str">
        <f>VLOOKUP(Tabla2[[#This Row],[No. ECO]],Hoja1!A:D,2,FALSE)</f>
        <v>MG-</v>
      </c>
      <c r="O176" s="4" t="s">
        <v>41</v>
      </c>
      <c r="P176" s="44">
        <v>45521</v>
      </c>
      <c r="Q176" s="4" t="s">
        <v>47</v>
      </c>
    </row>
    <row r="177" spans="1:17" x14ac:dyDescent="0.3">
      <c r="A177" s="4" t="str">
        <f>Tabla2[[#This Row],[TIPO2]]&amp;" "&amp;Tabla2[[#This Row],[ESTRUCTURA]]</f>
        <v>QUINTA BAJA WS COTTRELL</v>
      </c>
      <c r="B177" s="22" t="s">
        <v>589</v>
      </c>
      <c r="C177" s="23" t="s">
        <v>590</v>
      </c>
      <c r="D177" s="23" t="s">
        <v>25</v>
      </c>
      <c r="E177" s="23" t="s">
        <v>38</v>
      </c>
      <c r="F177" s="23" t="s">
        <v>39</v>
      </c>
      <c r="G177" s="23">
        <v>4900</v>
      </c>
      <c r="H177" s="23">
        <v>2024</v>
      </c>
      <c r="I177" s="23" t="s">
        <v>28</v>
      </c>
      <c r="J177" s="24" t="s">
        <v>29</v>
      </c>
      <c r="K177" s="24" t="s">
        <v>30</v>
      </c>
      <c r="L177" s="23" t="s">
        <v>31</v>
      </c>
      <c r="M177" s="23" t="s">
        <v>591</v>
      </c>
      <c r="N177" s="4" t="str">
        <f>VLOOKUP(Tabla2[[#This Row],[No. ECO]],Hoja1!A:D,2,FALSE)</f>
        <v>MG-</v>
      </c>
      <c r="O177" s="4" t="s">
        <v>33</v>
      </c>
      <c r="P177" s="44"/>
      <c r="Q177" s="4"/>
    </row>
    <row r="178" spans="1:17" x14ac:dyDescent="0.3">
      <c r="A178" s="4" t="str">
        <f>Tabla2[[#This Row],[TIPO2]]&amp;" "&amp;Tabla2[[#This Row],[ESTRUCTURA]]</f>
        <v>QUINTA BAJA BOYDSTUN</v>
      </c>
      <c r="B178" s="22" t="s">
        <v>592</v>
      </c>
      <c r="C178" s="23" t="s">
        <v>593</v>
      </c>
      <c r="D178" s="23" t="s">
        <v>25</v>
      </c>
      <c r="E178" s="23" t="s">
        <v>38</v>
      </c>
      <c r="F178" s="23" t="s">
        <v>39</v>
      </c>
      <c r="G178" s="23">
        <v>4900</v>
      </c>
      <c r="H178" s="23">
        <v>2024</v>
      </c>
      <c r="I178" s="23" t="s">
        <v>514</v>
      </c>
      <c r="J178" s="24" t="s">
        <v>103</v>
      </c>
      <c r="K178" s="24" t="s">
        <v>515</v>
      </c>
      <c r="L178" s="23" t="s">
        <v>31</v>
      </c>
      <c r="M178" s="23" t="s">
        <v>594</v>
      </c>
      <c r="N178" s="4" t="str">
        <f>VLOOKUP(Tabla2[[#This Row],[No. ECO]],Hoja1!A:D,2,FALSE)</f>
        <v>MG-</v>
      </c>
      <c r="O178" s="4" t="s">
        <v>33</v>
      </c>
      <c r="P178" s="44"/>
      <c r="Q178" s="4"/>
    </row>
    <row r="179" spans="1:17" x14ac:dyDescent="0.3">
      <c r="A179" s="4" t="str">
        <f>Tabla2[[#This Row],[TIPO2]]&amp;" "&amp;Tabla2[[#This Row],[ESTRUCTURA]]</f>
        <v>QUINTA BAJA BOYDSTUN</v>
      </c>
      <c r="B179" s="22" t="s">
        <v>595</v>
      </c>
      <c r="C179" s="23" t="s">
        <v>596</v>
      </c>
      <c r="D179" s="23" t="s">
        <v>25</v>
      </c>
      <c r="E179" s="23" t="s">
        <v>38</v>
      </c>
      <c r="F179" s="23" t="s">
        <v>39</v>
      </c>
      <c r="G179" s="23">
        <v>4900</v>
      </c>
      <c r="H179" s="23">
        <v>2024</v>
      </c>
      <c r="I179" s="23" t="s">
        <v>514</v>
      </c>
      <c r="J179" s="24" t="s">
        <v>103</v>
      </c>
      <c r="K179" s="24" t="s">
        <v>515</v>
      </c>
      <c r="L179" s="23" t="s">
        <v>31</v>
      </c>
      <c r="M179" s="23" t="s">
        <v>597</v>
      </c>
      <c r="N179" s="4" t="str">
        <f>VLOOKUP(Tabla2[[#This Row],[No. ECO]],Hoja1!A:D,2,FALSE)</f>
        <v>TY-MTY-</v>
      </c>
      <c r="O179" s="4" t="s">
        <v>41</v>
      </c>
      <c r="P179" s="44">
        <v>45594</v>
      </c>
      <c r="Q179" s="4" t="s">
        <v>42</v>
      </c>
    </row>
    <row r="180" spans="1:17" x14ac:dyDescent="0.3">
      <c r="A180" s="4" t="str">
        <f>Tabla2[[#This Row],[TIPO2]]&amp;" "&amp;Tabla2[[#This Row],[ESTRUCTURA]]</f>
        <v>QUINTA BAJA BOYDSTUN</v>
      </c>
      <c r="B180" s="22" t="s">
        <v>598</v>
      </c>
      <c r="C180" s="23" t="s">
        <v>599</v>
      </c>
      <c r="D180" s="23" t="s">
        <v>25</v>
      </c>
      <c r="E180" s="23" t="s">
        <v>38</v>
      </c>
      <c r="F180" s="23" t="s">
        <v>39</v>
      </c>
      <c r="G180" s="23">
        <v>4900</v>
      </c>
      <c r="H180" s="23">
        <v>2024</v>
      </c>
      <c r="I180" s="23" t="s">
        <v>514</v>
      </c>
      <c r="J180" s="24" t="s">
        <v>103</v>
      </c>
      <c r="K180" s="24" t="s">
        <v>515</v>
      </c>
      <c r="L180" s="23" t="s">
        <v>31</v>
      </c>
      <c r="M180" s="23" t="s">
        <v>600</v>
      </c>
      <c r="N180" s="4" t="str">
        <f>VLOOKUP(Tabla2[[#This Row],[No. ECO]],Hoja1!A:D,2,FALSE)</f>
        <v>MG-</v>
      </c>
      <c r="O180" s="4" t="s">
        <v>33</v>
      </c>
      <c r="P180" s="44"/>
      <c r="Q180" s="4"/>
    </row>
    <row r="181" spans="1:17" x14ac:dyDescent="0.3">
      <c r="A181" s="4" t="str">
        <f>Tabla2[[#This Row],[TIPO2]]&amp;" "&amp;Tabla2[[#This Row],[ESTRUCTURA]]</f>
        <v>QUINTA BAJA BOYDSTUN</v>
      </c>
      <c r="B181" s="22" t="s">
        <v>601</v>
      </c>
      <c r="C181" s="23" t="s">
        <v>602</v>
      </c>
      <c r="D181" s="23" t="s">
        <v>25</v>
      </c>
      <c r="E181" s="23" t="s">
        <v>38</v>
      </c>
      <c r="F181" s="23" t="s">
        <v>39</v>
      </c>
      <c r="G181" s="23">
        <v>4900</v>
      </c>
      <c r="H181" s="23">
        <v>2024</v>
      </c>
      <c r="I181" s="23" t="s">
        <v>514</v>
      </c>
      <c r="J181" s="24" t="s">
        <v>103</v>
      </c>
      <c r="K181" s="24" t="s">
        <v>515</v>
      </c>
      <c r="L181" s="23" t="s">
        <v>31</v>
      </c>
      <c r="M181" s="23" t="s">
        <v>603</v>
      </c>
      <c r="N181" s="4" t="str">
        <f>VLOOKUP(Tabla2[[#This Row],[No. ECO]],Hoja1!A:D,2,FALSE)</f>
        <v>TY-MTY-</v>
      </c>
      <c r="O181" s="4" t="s">
        <v>33</v>
      </c>
      <c r="P181" s="44"/>
      <c r="Q181" s="4"/>
    </row>
    <row r="182" spans="1:17" x14ac:dyDescent="0.3">
      <c r="A182" s="4" t="str">
        <f>Tabla2[[#This Row],[TIPO2]]&amp;" "&amp;Tabla2[[#This Row],[ESTRUCTURA]]</f>
        <v>QUINTA BAJA WS COTTRELL</v>
      </c>
      <c r="B182" s="22" t="s">
        <v>604</v>
      </c>
      <c r="C182" s="23" t="s">
        <v>605</v>
      </c>
      <c r="D182" s="23" t="s">
        <v>25</v>
      </c>
      <c r="E182" s="23" t="s">
        <v>38</v>
      </c>
      <c r="F182" s="23" t="s">
        <v>39</v>
      </c>
      <c r="G182" s="23">
        <v>4900</v>
      </c>
      <c r="H182" s="23">
        <v>2024</v>
      </c>
      <c r="I182" s="23" t="s">
        <v>28</v>
      </c>
      <c r="J182" s="24" t="s">
        <v>29</v>
      </c>
      <c r="K182" s="24" t="s">
        <v>30</v>
      </c>
      <c r="L182" s="23" t="s">
        <v>31</v>
      </c>
      <c r="M182" s="23" t="s">
        <v>606</v>
      </c>
      <c r="N182" s="4" t="str">
        <f>VLOOKUP(Tabla2[[#This Row],[No. ECO]],Hoja1!A:D,2,FALSE)</f>
        <v>MG-</v>
      </c>
      <c r="O182" s="4" t="s">
        <v>33</v>
      </c>
      <c r="P182" s="44"/>
      <c r="Q182" s="4"/>
    </row>
    <row r="183" spans="1:17" x14ac:dyDescent="0.3">
      <c r="A183" s="4" t="str">
        <f>Tabla2[[#This Row],[TIPO2]]&amp;" "&amp;Tabla2[[#This Row],[ESTRUCTURA]]</f>
        <v>QUINTA BAJA WS COTTRELL</v>
      </c>
      <c r="B183" s="22" t="s">
        <v>607</v>
      </c>
      <c r="C183" s="23" t="s">
        <v>608</v>
      </c>
      <c r="D183" s="23" t="s">
        <v>25</v>
      </c>
      <c r="E183" s="23" t="s">
        <v>38</v>
      </c>
      <c r="F183" s="23" t="s">
        <v>39</v>
      </c>
      <c r="G183" s="23">
        <v>4900</v>
      </c>
      <c r="H183" s="23">
        <v>2024</v>
      </c>
      <c r="I183" s="23" t="s">
        <v>28</v>
      </c>
      <c r="J183" s="24" t="s">
        <v>29</v>
      </c>
      <c r="K183" s="24" t="s">
        <v>30</v>
      </c>
      <c r="L183" s="23" t="s">
        <v>31</v>
      </c>
      <c r="M183" s="23" t="s">
        <v>609</v>
      </c>
      <c r="N183" s="4" t="str">
        <f>VLOOKUP(Tabla2[[#This Row],[No. ECO]],Hoja1!A:D,2,FALSE)</f>
        <v>MG-</v>
      </c>
      <c r="O183" s="4" t="s">
        <v>41</v>
      </c>
      <c r="P183" s="44">
        <v>45587</v>
      </c>
      <c r="Q183" s="4" t="s">
        <v>42</v>
      </c>
    </row>
    <row r="184" spans="1:17" x14ac:dyDescent="0.3">
      <c r="A184" s="4" t="str">
        <f>Tabla2[[#This Row],[TIPO2]]&amp;" "&amp;Tabla2[[#This Row],[ESTRUCTURA]]</f>
        <v>QUINTA BAJA WS COTTRELL</v>
      </c>
      <c r="B184" s="22" t="s">
        <v>610</v>
      </c>
      <c r="C184" s="23" t="s">
        <v>611</v>
      </c>
      <c r="D184" s="23" t="s">
        <v>25</v>
      </c>
      <c r="E184" s="23" t="s">
        <v>38</v>
      </c>
      <c r="F184" s="23" t="s">
        <v>39</v>
      </c>
      <c r="G184" s="23">
        <v>4900</v>
      </c>
      <c r="H184" s="23">
        <v>2024</v>
      </c>
      <c r="I184" s="23" t="s">
        <v>28</v>
      </c>
      <c r="J184" s="24" t="s">
        <v>29</v>
      </c>
      <c r="K184" s="24" t="s">
        <v>30</v>
      </c>
      <c r="L184" s="23" t="s">
        <v>31</v>
      </c>
      <c r="M184" s="23" t="s">
        <v>612</v>
      </c>
      <c r="N184" s="4" t="str">
        <f>VLOOKUP(Tabla2[[#This Row],[No. ECO]],Hoja1!A:D,2,FALSE)</f>
        <v>BMW-</v>
      </c>
      <c r="O184" s="4" t="s">
        <v>33</v>
      </c>
      <c r="P184" s="44"/>
      <c r="Q184" s="4"/>
    </row>
    <row r="185" spans="1:17" x14ac:dyDescent="0.3">
      <c r="A185" s="4" t="str">
        <f>Tabla2[[#This Row],[TIPO2]]&amp;" "&amp;Tabla2[[#This Row],[ESTRUCTURA]]</f>
        <v>QUINTA BAJA WS COTTRELL</v>
      </c>
      <c r="B185" s="22" t="s">
        <v>613</v>
      </c>
      <c r="C185" s="23" t="s">
        <v>614</v>
      </c>
      <c r="D185" s="23" t="s">
        <v>25</v>
      </c>
      <c r="E185" s="23" t="s">
        <v>38</v>
      </c>
      <c r="F185" s="23" t="s">
        <v>39</v>
      </c>
      <c r="G185" s="23">
        <v>4900</v>
      </c>
      <c r="H185" s="23">
        <v>2024</v>
      </c>
      <c r="I185" s="23" t="s">
        <v>28</v>
      </c>
      <c r="J185" s="24" t="s">
        <v>29</v>
      </c>
      <c r="K185" s="24" t="s">
        <v>30</v>
      </c>
      <c r="L185" s="23" t="s">
        <v>31</v>
      </c>
      <c r="M185" s="23" t="s">
        <v>615</v>
      </c>
      <c r="N185" s="4" t="str">
        <f>VLOOKUP(Tabla2[[#This Row],[No. ECO]],Hoja1!A:D,2,FALSE)</f>
        <v>MG-</v>
      </c>
      <c r="O185" s="4" t="s">
        <v>41</v>
      </c>
      <c r="P185" s="44">
        <v>45505</v>
      </c>
      <c r="Q185" s="4" t="s">
        <v>42</v>
      </c>
    </row>
    <row r="186" spans="1:17" x14ac:dyDescent="0.3">
      <c r="A186" s="4" t="str">
        <f>Tabla2[[#This Row],[TIPO2]]&amp;" "&amp;Tabla2[[#This Row],[ESTRUCTURA]]</f>
        <v>QUINTA BAJA WS COTTRELL</v>
      </c>
      <c r="B186" s="22" t="s">
        <v>616</v>
      </c>
      <c r="C186" s="23" t="s">
        <v>617</v>
      </c>
      <c r="D186" s="23" t="s">
        <v>25</v>
      </c>
      <c r="E186" s="23" t="s">
        <v>38</v>
      </c>
      <c r="F186" s="23" t="s">
        <v>39</v>
      </c>
      <c r="G186" s="23">
        <v>4900</v>
      </c>
      <c r="H186" s="23">
        <v>2024</v>
      </c>
      <c r="I186" s="23" t="s">
        <v>28</v>
      </c>
      <c r="J186" s="24" t="s">
        <v>29</v>
      </c>
      <c r="K186" s="24" t="s">
        <v>30</v>
      </c>
      <c r="L186" s="23" t="s">
        <v>31</v>
      </c>
      <c r="M186" s="23" t="s">
        <v>618</v>
      </c>
      <c r="N186" s="4" t="str">
        <f>VLOOKUP(Tabla2[[#This Row],[No. ECO]],Hoja1!A:D,2,FALSE)</f>
        <v>BMW-</v>
      </c>
      <c r="O186" s="4" t="s">
        <v>33</v>
      </c>
      <c r="P186" s="44"/>
      <c r="Q186" s="4"/>
    </row>
    <row r="187" spans="1:17" x14ac:dyDescent="0.3">
      <c r="A187" s="4" t="str">
        <f>Tabla2[[#This Row],[TIPO2]]&amp;" "&amp;Tabla2[[#This Row],[ESTRUCTURA]]</f>
        <v>QUINTA BAJA WS COTTRELL</v>
      </c>
      <c r="B187" s="22" t="s">
        <v>619</v>
      </c>
      <c r="C187" s="23" t="s">
        <v>620</v>
      </c>
      <c r="D187" s="23" t="s">
        <v>25</v>
      </c>
      <c r="E187" s="23" t="s">
        <v>38</v>
      </c>
      <c r="F187" s="23" t="s">
        <v>39</v>
      </c>
      <c r="G187" s="23">
        <v>4900</v>
      </c>
      <c r="H187" s="23">
        <v>2024</v>
      </c>
      <c r="I187" s="23" t="s">
        <v>28</v>
      </c>
      <c r="J187" s="24" t="s">
        <v>29</v>
      </c>
      <c r="K187" s="24" t="s">
        <v>30</v>
      </c>
      <c r="L187" s="23" t="s">
        <v>31</v>
      </c>
      <c r="M187" s="23" t="s">
        <v>621</v>
      </c>
      <c r="N187" s="4" t="str">
        <f>VLOOKUP(Tabla2[[#This Row],[No. ECO]],Hoja1!A:D,2,FALSE)</f>
        <v>BMW-</v>
      </c>
      <c r="O187" s="4" t="s">
        <v>41</v>
      </c>
      <c r="P187" s="44">
        <v>45587</v>
      </c>
      <c r="Q187" s="4" t="s">
        <v>42</v>
      </c>
    </row>
    <row r="188" spans="1:17" x14ac:dyDescent="0.3">
      <c r="A188" s="4" t="str">
        <f>Tabla2[[#This Row],[TIPO2]]&amp;" "&amp;Tabla2[[#This Row],[ESTRUCTURA]]</f>
        <v>QUINTA BAJA WS COTTRELL</v>
      </c>
      <c r="B188" s="22" t="s">
        <v>622</v>
      </c>
      <c r="C188" s="23" t="s">
        <v>623</v>
      </c>
      <c r="D188" s="23" t="s">
        <v>25</v>
      </c>
      <c r="E188" s="23" t="s">
        <v>38</v>
      </c>
      <c r="F188" s="23" t="s">
        <v>39</v>
      </c>
      <c r="G188" s="23">
        <v>4900</v>
      </c>
      <c r="H188" s="23">
        <v>2024</v>
      </c>
      <c r="I188" s="23" t="s">
        <v>28</v>
      </c>
      <c r="J188" s="24" t="s">
        <v>29</v>
      </c>
      <c r="K188" s="24" t="s">
        <v>30</v>
      </c>
      <c r="L188" s="23" t="s">
        <v>31</v>
      </c>
      <c r="M188" s="23" t="s">
        <v>624</v>
      </c>
      <c r="N188" s="4" t="str">
        <f>VLOOKUP(Tabla2[[#This Row],[No. ECO]],Hoja1!A:D,2,FALSE)</f>
        <v>BMW-</v>
      </c>
      <c r="O188" s="4" t="s">
        <v>33</v>
      </c>
      <c r="P188" s="44"/>
      <c r="Q188" s="4"/>
    </row>
    <row r="189" spans="1:17" x14ac:dyDescent="0.3">
      <c r="A189" s="4" t="str">
        <f>Tabla2[[#This Row],[TIPO2]]&amp;" "&amp;Tabla2[[#This Row],[ESTRUCTURA]]</f>
        <v>QUINTA BAJA WS COTTRELL</v>
      </c>
      <c r="B189" s="22" t="s">
        <v>625</v>
      </c>
      <c r="C189" s="23" t="s">
        <v>626</v>
      </c>
      <c r="D189" s="23" t="s">
        <v>25</v>
      </c>
      <c r="E189" s="23" t="s">
        <v>38</v>
      </c>
      <c r="F189" s="23" t="s">
        <v>39</v>
      </c>
      <c r="G189" s="23">
        <v>4900</v>
      </c>
      <c r="H189" s="23">
        <v>2024</v>
      </c>
      <c r="I189" s="23" t="s">
        <v>28</v>
      </c>
      <c r="J189" s="24" t="s">
        <v>29</v>
      </c>
      <c r="K189" s="24" t="s">
        <v>30</v>
      </c>
      <c r="L189" s="23" t="s">
        <v>31</v>
      </c>
      <c r="M189" s="23" t="s">
        <v>627</v>
      </c>
      <c r="N189" s="4" t="str">
        <f>VLOOKUP(Tabla2[[#This Row],[No. ECO]],Hoja1!A:D,2,FALSE)</f>
        <v>BMW-</v>
      </c>
      <c r="O189" s="4" t="s">
        <v>33</v>
      </c>
      <c r="P189" s="44"/>
      <c r="Q189" s="4"/>
    </row>
    <row r="190" spans="1:17" x14ac:dyDescent="0.3">
      <c r="A190" s="4" t="str">
        <f>Tabla2[[#This Row],[TIPO2]]&amp;" "&amp;Tabla2[[#This Row],[ESTRUCTURA]]</f>
        <v>QUINTA BAJA WS COTTRELL</v>
      </c>
      <c r="B190" s="22" t="s">
        <v>628</v>
      </c>
      <c r="C190" s="23" t="s">
        <v>629</v>
      </c>
      <c r="D190" s="23" t="s">
        <v>25</v>
      </c>
      <c r="E190" s="23" t="s">
        <v>38</v>
      </c>
      <c r="F190" s="23" t="s">
        <v>39</v>
      </c>
      <c r="G190" s="23">
        <v>4900</v>
      </c>
      <c r="H190" s="23">
        <v>2024</v>
      </c>
      <c r="I190" s="23" t="s">
        <v>28</v>
      </c>
      <c r="J190" s="24" t="s">
        <v>29</v>
      </c>
      <c r="K190" s="24" t="s">
        <v>30</v>
      </c>
      <c r="L190" s="23" t="s">
        <v>31</v>
      </c>
      <c r="M190" s="23" t="s">
        <v>630</v>
      </c>
      <c r="N190" s="4" t="str">
        <f>VLOOKUP(Tabla2[[#This Row],[No. ECO]],Hoja1!A:D,2,FALSE)</f>
        <v>MG-</v>
      </c>
      <c r="O190" s="4" t="s">
        <v>33</v>
      </c>
      <c r="P190" s="44"/>
      <c r="Q190" s="4"/>
    </row>
    <row r="191" spans="1:17" x14ac:dyDescent="0.3">
      <c r="A191" s="4" t="str">
        <f>Tabla2[[#This Row],[TIPO2]]&amp;" "&amp;Tabla2[[#This Row],[ESTRUCTURA]]</f>
        <v>QUINTA BAJA BOYDSTUN</v>
      </c>
      <c r="B191" s="22" t="s">
        <v>631</v>
      </c>
      <c r="C191" s="23" t="s">
        <v>632</v>
      </c>
      <c r="D191" s="23" t="s">
        <v>25</v>
      </c>
      <c r="E191" s="23" t="s">
        <v>38</v>
      </c>
      <c r="F191" s="23" t="s">
        <v>39</v>
      </c>
      <c r="G191" s="23">
        <v>4900</v>
      </c>
      <c r="H191" s="23">
        <v>2024</v>
      </c>
      <c r="I191" s="23" t="s">
        <v>514</v>
      </c>
      <c r="J191" s="24" t="s">
        <v>103</v>
      </c>
      <c r="K191" s="24" t="s">
        <v>515</v>
      </c>
      <c r="L191" s="23" t="s">
        <v>31</v>
      </c>
      <c r="M191" s="23" t="s">
        <v>633</v>
      </c>
      <c r="N191" s="4" t="str">
        <f>VLOOKUP(Tabla2[[#This Row],[No. ECO]],Hoja1!A:D,2,FALSE)</f>
        <v>BMW-</v>
      </c>
      <c r="O191" s="4" t="s">
        <v>41</v>
      </c>
      <c r="P191" s="44">
        <v>45505</v>
      </c>
      <c r="Q191" s="4" t="s">
        <v>42</v>
      </c>
    </row>
    <row r="192" spans="1:17" x14ac:dyDescent="0.3">
      <c r="A192" s="4" t="str">
        <f>Tabla2[[#This Row],[TIPO2]]&amp;" "&amp;Tabla2[[#This Row],[ESTRUCTURA]]</f>
        <v>QUINTA BAJA 2.0 COTTRELL</v>
      </c>
      <c r="B192" s="15" t="s">
        <v>634</v>
      </c>
      <c r="C192" s="4" t="s">
        <v>635</v>
      </c>
      <c r="D192" s="4" t="s">
        <v>93</v>
      </c>
      <c r="E192" s="4" t="s">
        <v>90</v>
      </c>
      <c r="F192" s="4" t="s">
        <v>94</v>
      </c>
      <c r="G192" s="4" t="s">
        <v>102</v>
      </c>
      <c r="H192" s="4">
        <v>2024</v>
      </c>
      <c r="I192" s="4" t="s">
        <v>28</v>
      </c>
      <c r="J192" s="16" t="s">
        <v>254</v>
      </c>
      <c r="K192" s="16" t="s">
        <v>104</v>
      </c>
      <c r="L192" s="4" t="s">
        <v>31</v>
      </c>
      <c r="M192" s="4" t="s">
        <v>636</v>
      </c>
      <c r="N192" s="4" t="str">
        <f>VLOOKUP(Tabla2[[#This Row],[No. ECO]],Hoja1!A:D,2,FALSE)</f>
        <v>TY-T-</v>
      </c>
      <c r="O192" s="4" t="s">
        <v>33</v>
      </c>
      <c r="P192" s="44"/>
      <c r="Q192" s="4"/>
    </row>
    <row r="193" spans="1:17" x14ac:dyDescent="0.3">
      <c r="A193" s="4" t="str">
        <f>Tabla2[[#This Row],[TIPO2]]&amp;" "&amp;Tabla2[[#This Row],[ESTRUCTURA]]</f>
        <v>QUINTA BAJA 2.0 COTTRELL</v>
      </c>
      <c r="B193" s="15" t="s">
        <v>637</v>
      </c>
      <c r="C193" s="4" t="s">
        <v>638</v>
      </c>
      <c r="D193" s="4" t="s">
        <v>93</v>
      </c>
      <c r="E193" s="4" t="s">
        <v>90</v>
      </c>
      <c r="F193" s="4" t="s">
        <v>94</v>
      </c>
      <c r="G193" s="4" t="s">
        <v>102</v>
      </c>
      <c r="H193" s="4">
        <v>2024</v>
      </c>
      <c r="I193" s="4" t="s">
        <v>28</v>
      </c>
      <c r="J193" s="16" t="s">
        <v>254</v>
      </c>
      <c r="K193" s="16" t="s">
        <v>104</v>
      </c>
      <c r="L193" s="4" t="s">
        <v>31</v>
      </c>
      <c r="M193" s="4" t="s">
        <v>639</v>
      </c>
      <c r="N193" s="4" t="str">
        <f>VLOOKUP(Tabla2[[#This Row],[No. ECO]],Hoja1!A:D,2,FALSE)</f>
        <v>TY-EXP-</v>
      </c>
      <c r="O193" s="4" t="s">
        <v>41</v>
      </c>
      <c r="P193" s="44">
        <v>45572</v>
      </c>
      <c r="Q193" s="4" t="s">
        <v>47</v>
      </c>
    </row>
    <row r="194" spans="1:17" x14ac:dyDescent="0.3">
      <c r="A194" s="4" t="str">
        <f>Tabla2[[#This Row],[TIPO2]]&amp;" "&amp;Tabla2[[#This Row],[ESTRUCTURA]]</f>
        <v>QUINTA BAJA 2.0 COTTRELL</v>
      </c>
      <c r="B194" s="15" t="s">
        <v>640</v>
      </c>
      <c r="C194" s="4" t="s">
        <v>641</v>
      </c>
      <c r="D194" s="4" t="s">
        <v>93</v>
      </c>
      <c r="E194" s="4" t="s">
        <v>90</v>
      </c>
      <c r="F194" s="4" t="s">
        <v>94</v>
      </c>
      <c r="G194" s="4" t="s">
        <v>102</v>
      </c>
      <c r="H194" s="4">
        <v>2024</v>
      </c>
      <c r="I194" s="4" t="s">
        <v>28</v>
      </c>
      <c r="J194" s="16" t="s">
        <v>254</v>
      </c>
      <c r="K194" s="16" t="s">
        <v>104</v>
      </c>
      <c r="L194" s="4" t="s">
        <v>31</v>
      </c>
      <c r="M194" s="4" t="s">
        <v>642</v>
      </c>
      <c r="N194" s="4" t="str">
        <f>VLOOKUP(Tabla2[[#This Row],[No. ECO]],Hoja1!A:D,2,FALSE)</f>
        <v>GM-</v>
      </c>
      <c r="O194" s="4" t="s">
        <v>33</v>
      </c>
      <c r="P194" s="44"/>
      <c r="Q194" s="4"/>
    </row>
    <row r="195" spans="1:17" x14ac:dyDescent="0.3">
      <c r="A195" s="4" t="str">
        <f>Tabla2[[#This Row],[TIPO2]]&amp;" "&amp;Tabla2[[#This Row],[ESTRUCTURA]]</f>
        <v>QUINTA BAJA 2.0 COTTRELL</v>
      </c>
      <c r="B195" s="15" t="s">
        <v>643</v>
      </c>
      <c r="C195" s="4" t="s">
        <v>644</v>
      </c>
      <c r="D195" s="4" t="s">
        <v>93</v>
      </c>
      <c r="E195" s="4" t="s">
        <v>90</v>
      </c>
      <c r="F195" s="4" t="s">
        <v>94</v>
      </c>
      <c r="G195" s="4" t="s">
        <v>102</v>
      </c>
      <c r="H195" s="4">
        <v>2024</v>
      </c>
      <c r="I195" s="4" t="s">
        <v>28</v>
      </c>
      <c r="J195" s="16" t="s">
        <v>254</v>
      </c>
      <c r="K195" s="16" t="s">
        <v>104</v>
      </c>
      <c r="L195" s="4" t="s">
        <v>31</v>
      </c>
      <c r="M195" s="4" t="s">
        <v>645</v>
      </c>
      <c r="N195" s="4" t="str">
        <f>VLOOKUP(Tabla2[[#This Row],[No. ECO]],Hoja1!A:D,2,FALSE)</f>
        <v>TY-APASEO-</v>
      </c>
      <c r="O195" s="4" t="s">
        <v>41</v>
      </c>
      <c r="P195" s="44">
        <v>45572</v>
      </c>
      <c r="Q195" s="4" t="s">
        <v>42</v>
      </c>
    </row>
    <row r="196" spans="1:17" x14ac:dyDescent="0.3">
      <c r="A196" s="4" t="str">
        <f>Tabla2[[#This Row],[TIPO2]]&amp;" "&amp;Tabla2[[#This Row],[ESTRUCTURA]]</f>
        <v>QUINTA BAJA COTTRELL</v>
      </c>
      <c r="B196" s="15" t="s">
        <v>646</v>
      </c>
      <c r="C196" s="4" t="s">
        <v>647</v>
      </c>
      <c r="D196" s="4" t="s">
        <v>93</v>
      </c>
      <c r="E196" s="4" t="s">
        <v>90</v>
      </c>
      <c r="F196" s="4" t="s">
        <v>94</v>
      </c>
      <c r="G196" s="4" t="s">
        <v>102</v>
      </c>
      <c r="H196" s="4">
        <v>2024</v>
      </c>
      <c r="I196" s="4" t="s">
        <v>28</v>
      </c>
      <c r="J196" s="16" t="s">
        <v>103</v>
      </c>
      <c r="K196" s="16" t="s">
        <v>104</v>
      </c>
      <c r="L196" s="4" t="s">
        <v>97</v>
      </c>
      <c r="M196" s="4" t="s">
        <v>648</v>
      </c>
      <c r="N196" s="4" t="str">
        <f>VLOOKUP(Tabla2[[#This Row],[No. ECO]],Hoja1!A:D,2,FALSE)</f>
        <v>TY-APASEO-</v>
      </c>
      <c r="O196" s="4" t="s">
        <v>41</v>
      </c>
      <c r="P196" s="44">
        <v>45542</v>
      </c>
      <c r="Q196" s="4" t="s">
        <v>47</v>
      </c>
    </row>
    <row r="197" spans="1:17" x14ac:dyDescent="0.3">
      <c r="A197" s="4" t="str">
        <f>Tabla2[[#This Row],[TIPO2]]&amp;" "&amp;Tabla2[[#This Row],[ESTRUCTURA]]</f>
        <v>QUINTA BAJA 2.0 COTTRELL</v>
      </c>
      <c r="B197" s="15" t="s">
        <v>649</v>
      </c>
      <c r="C197" s="4" t="s">
        <v>650</v>
      </c>
      <c r="D197" s="4" t="s">
        <v>93</v>
      </c>
      <c r="E197" s="4" t="s">
        <v>90</v>
      </c>
      <c r="F197" s="4" t="s">
        <v>94</v>
      </c>
      <c r="G197" s="4" t="s">
        <v>102</v>
      </c>
      <c r="H197" s="4">
        <v>2024</v>
      </c>
      <c r="I197" s="4" t="s">
        <v>28</v>
      </c>
      <c r="J197" s="16" t="s">
        <v>254</v>
      </c>
      <c r="K197" s="16" t="s">
        <v>104</v>
      </c>
      <c r="L197" s="4" t="s">
        <v>31</v>
      </c>
      <c r="M197" s="4" t="s">
        <v>651</v>
      </c>
      <c r="N197" s="4" t="str">
        <f>VLOOKUP(Tabla2[[#This Row],[No. ECO]],Hoja1!A:D,2,FALSE)</f>
        <v>SIN CLIENTE-</v>
      </c>
      <c r="O197" s="4" t="s">
        <v>41</v>
      </c>
      <c r="P197" s="44">
        <v>45567</v>
      </c>
      <c r="Q197" s="4" t="s">
        <v>47</v>
      </c>
    </row>
    <row r="198" spans="1:17" x14ac:dyDescent="0.3">
      <c r="A198" s="4" t="str">
        <f>Tabla2[[#This Row],[TIPO2]]&amp;" "&amp;Tabla2[[#This Row],[ESTRUCTURA]]</f>
        <v>QUINTA BAJA 2.0 COTTRELL</v>
      </c>
      <c r="B198" s="15" t="s">
        <v>652</v>
      </c>
      <c r="C198" s="4" t="s">
        <v>653</v>
      </c>
      <c r="D198" s="4" t="s">
        <v>93</v>
      </c>
      <c r="E198" s="4" t="s">
        <v>90</v>
      </c>
      <c r="F198" s="4" t="s">
        <v>94</v>
      </c>
      <c r="G198" s="4" t="s">
        <v>102</v>
      </c>
      <c r="H198" s="4">
        <v>2024</v>
      </c>
      <c r="I198" s="4" t="s">
        <v>28</v>
      </c>
      <c r="J198" s="16" t="s">
        <v>254</v>
      </c>
      <c r="K198" s="16" t="s">
        <v>104</v>
      </c>
      <c r="L198" s="4" t="s">
        <v>31</v>
      </c>
      <c r="M198" s="4" t="s">
        <v>654</v>
      </c>
      <c r="N198" s="4" t="str">
        <f>VLOOKUP(Tabla2[[#This Row],[No. ECO]],Hoja1!A:D,2,FALSE)</f>
        <v>GM-</v>
      </c>
      <c r="O198" s="4" t="s">
        <v>41</v>
      </c>
      <c r="P198" s="44">
        <v>45572</v>
      </c>
      <c r="Q198" s="4" t="s">
        <v>42</v>
      </c>
    </row>
    <row r="199" spans="1:17" x14ac:dyDescent="0.3">
      <c r="A199" s="4" t="str">
        <f>Tabla2[[#This Row],[TIPO2]]&amp;" "&amp;Tabla2[[#This Row],[ESTRUCTURA]]</f>
        <v>QUINTA BAJA 2.0 COTTRELL</v>
      </c>
      <c r="B199" s="15" t="s">
        <v>655</v>
      </c>
      <c r="C199" s="4" t="s">
        <v>656</v>
      </c>
      <c r="D199" s="4" t="s">
        <v>93</v>
      </c>
      <c r="E199" s="4" t="s">
        <v>90</v>
      </c>
      <c r="F199" s="4" t="s">
        <v>94</v>
      </c>
      <c r="G199" s="4" t="s">
        <v>102</v>
      </c>
      <c r="H199" s="4">
        <v>2024</v>
      </c>
      <c r="I199" s="4" t="s">
        <v>28</v>
      </c>
      <c r="J199" s="16" t="s">
        <v>254</v>
      </c>
      <c r="K199" s="16" t="s">
        <v>104</v>
      </c>
      <c r="L199" s="4" t="s">
        <v>31</v>
      </c>
      <c r="M199" s="4" t="s">
        <v>657</v>
      </c>
      <c r="N199" s="4" t="str">
        <f>VLOOKUP(Tabla2[[#This Row],[No. ECO]],Hoja1!A:D,2,FALSE)</f>
        <v>TY-D-</v>
      </c>
      <c r="O199" s="4" t="s">
        <v>41</v>
      </c>
      <c r="P199" s="44">
        <v>45513</v>
      </c>
      <c r="Q199" s="4" t="s">
        <v>47</v>
      </c>
    </row>
    <row r="200" spans="1:17" x14ac:dyDescent="0.3">
      <c r="A200" s="4" t="str">
        <f>Tabla2[[#This Row],[TIPO2]]&amp;" "&amp;Tabla2[[#This Row],[ESTRUCTURA]]</f>
        <v>QUINTA BAJA 2.0 COTTRELL</v>
      </c>
      <c r="B200" s="15" t="s">
        <v>658</v>
      </c>
      <c r="C200" s="4" t="s">
        <v>659</v>
      </c>
      <c r="D200" s="4" t="s">
        <v>93</v>
      </c>
      <c r="E200" s="4" t="s">
        <v>90</v>
      </c>
      <c r="F200" s="4" t="s">
        <v>94</v>
      </c>
      <c r="G200" s="4" t="s">
        <v>102</v>
      </c>
      <c r="H200" s="4">
        <v>2024</v>
      </c>
      <c r="I200" s="4" t="s">
        <v>28</v>
      </c>
      <c r="J200" s="16" t="s">
        <v>254</v>
      </c>
      <c r="K200" s="16" t="s">
        <v>104</v>
      </c>
      <c r="L200" s="4" t="s">
        <v>31</v>
      </c>
      <c r="M200" s="4" t="s">
        <v>660</v>
      </c>
      <c r="N200" s="4" t="str">
        <f>VLOOKUP(Tabla2[[#This Row],[No. ECO]],Hoja1!A:D,2,FALSE)</f>
        <v>TY-T-</v>
      </c>
      <c r="O200" s="4" t="s">
        <v>41</v>
      </c>
      <c r="P200" s="44">
        <v>45559</v>
      </c>
      <c r="Q200" s="4" t="s">
        <v>47</v>
      </c>
    </row>
    <row r="201" spans="1:17" x14ac:dyDescent="0.3">
      <c r="A201" s="4" t="str">
        <f>Tabla2[[#This Row],[TIPO2]]&amp;" "&amp;Tabla2[[#This Row],[ESTRUCTURA]]</f>
        <v>QUINTA BAJA 2.0 COTTRELL</v>
      </c>
      <c r="B201" s="15" t="s">
        <v>661</v>
      </c>
      <c r="C201" s="4" t="s">
        <v>662</v>
      </c>
      <c r="D201" s="4" t="s">
        <v>93</v>
      </c>
      <c r="E201" s="4" t="s">
        <v>90</v>
      </c>
      <c r="F201" s="4" t="s">
        <v>94</v>
      </c>
      <c r="G201" s="4" t="s">
        <v>102</v>
      </c>
      <c r="H201" s="4">
        <v>2024</v>
      </c>
      <c r="I201" s="4" t="s">
        <v>28</v>
      </c>
      <c r="J201" s="16" t="s">
        <v>254</v>
      </c>
      <c r="K201" s="16" t="s">
        <v>104</v>
      </c>
      <c r="L201" s="4" t="s">
        <v>31</v>
      </c>
      <c r="M201" s="4" t="s">
        <v>663</v>
      </c>
      <c r="N201" s="4" t="str">
        <f>VLOOKUP(Tabla2[[#This Row],[No. ECO]],Hoja1!A:D,2,FALSE)</f>
        <v>GM-</v>
      </c>
      <c r="O201" s="4" t="s">
        <v>33</v>
      </c>
      <c r="P201" s="44"/>
      <c r="Q201" s="4"/>
    </row>
    <row r="202" spans="1:17" x14ac:dyDescent="0.3">
      <c r="A202" s="4" t="str">
        <f>Tabla2[[#This Row],[TIPO2]]&amp;" "&amp;Tabla2[[#This Row],[ESTRUCTURA]]</f>
        <v>QUINTA BAJA COTTRELL</v>
      </c>
      <c r="B202" s="15" t="s">
        <v>664</v>
      </c>
      <c r="C202" s="4" t="s">
        <v>665</v>
      </c>
      <c r="D202" s="4" t="s">
        <v>93</v>
      </c>
      <c r="E202" s="4" t="s">
        <v>90</v>
      </c>
      <c r="F202" s="4" t="s">
        <v>94</v>
      </c>
      <c r="G202" s="4" t="s">
        <v>102</v>
      </c>
      <c r="H202" s="4">
        <v>2024</v>
      </c>
      <c r="I202" s="4" t="s">
        <v>28</v>
      </c>
      <c r="J202" s="16" t="s">
        <v>103</v>
      </c>
      <c r="K202" s="16" t="s">
        <v>104</v>
      </c>
      <c r="L202" s="4" t="s">
        <v>97</v>
      </c>
      <c r="M202" s="4" t="s">
        <v>666</v>
      </c>
      <c r="N202" s="4" t="str">
        <f>VLOOKUP(Tabla2[[#This Row],[No. ECO]],Hoja1!A:D,2,FALSE)</f>
        <v>TY-T-</v>
      </c>
      <c r="O202" s="4" t="s">
        <v>41</v>
      </c>
      <c r="P202" s="44">
        <v>45518</v>
      </c>
      <c r="Q202" s="4" t="s">
        <v>47</v>
      </c>
    </row>
    <row r="203" spans="1:17" x14ac:dyDescent="0.3">
      <c r="A203" s="4" t="str">
        <f>Tabla2[[#This Row],[TIPO2]]&amp;" "&amp;Tabla2[[#This Row],[ESTRUCTURA]]</f>
        <v>QUINTA BAJA 2.0 COTTRELL</v>
      </c>
      <c r="B203" s="15" t="s">
        <v>667</v>
      </c>
      <c r="C203" s="4" t="s">
        <v>668</v>
      </c>
      <c r="D203" s="4" t="s">
        <v>93</v>
      </c>
      <c r="E203" s="4" t="s">
        <v>90</v>
      </c>
      <c r="F203" s="4" t="s">
        <v>94</v>
      </c>
      <c r="G203" s="4" t="s">
        <v>102</v>
      </c>
      <c r="H203" s="4">
        <v>2024</v>
      </c>
      <c r="I203" s="4" t="s">
        <v>28</v>
      </c>
      <c r="J203" s="16" t="s">
        <v>254</v>
      </c>
      <c r="K203" s="16" t="s">
        <v>104</v>
      </c>
      <c r="L203" s="4" t="s">
        <v>31</v>
      </c>
      <c r="M203" s="4" t="s">
        <v>669</v>
      </c>
      <c r="N203" s="4" t="str">
        <f>VLOOKUP(Tabla2[[#This Row],[No. ECO]],Hoja1!A:D,2,FALSE)</f>
        <v>TY-EXP-</v>
      </c>
      <c r="O203" s="4" t="s">
        <v>33</v>
      </c>
      <c r="P203" s="44"/>
      <c r="Q203" s="4"/>
    </row>
    <row r="204" spans="1:17" x14ac:dyDescent="0.3">
      <c r="A204" s="4" t="str">
        <f>Tabla2[[#This Row],[TIPO2]]&amp;" "&amp;Tabla2[[#This Row],[ESTRUCTURA]]</f>
        <v>QUINTA BAJA COTTRELL</v>
      </c>
      <c r="B204" s="15" t="s">
        <v>670</v>
      </c>
      <c r="C204" s="4" t="s">
        <v>671</v>
      </c>
      <c r="D204" s="4" t="s">
        <v>93</v>
      </c>
      <c r="E204" s="4" t="s">
        <v>90</v>
      </c>
      <c r="F204" s="4" t="s">
        <v>94</v>
      </c>
      <c r="G204" s="4" t="s">
        <v>102</v>
      </c>
      <c r="H204" s="4">
        <v>2024</v>
      </c>
      <c r="I204" s="4" t="s">
        <v>28</v>
      </c>
      <c r="J204" s="16" t="s">
        <v>103</v>
      </c>
      <c r="K204" s="16" t="s">
        <v>104</v>
      </c>
      <c r="L204" s="4" t="s">
        <v>97</v>
      </c>
      <c r="M204" s="4" t="s">
        <v>672</v>
      </c>
      <c r="N204" s="4" t="str">
        <f>VLOOKUP(Tabla2[[#This Row],[No. ECO]],Hoja1!A:D,2,FALSE)</f>
        <v>TY-D-</v>
      </c>
      <c r="O204" s="4" t="s">
        <v>41</v>
      </c>
      <c r="P204" s="44">
        <v>45518</v>
      </c>
      <c r="Q204" s="4" t="s">
        <v>47</v>
      </c>
    </row>
    <row r="205" spans="1:17" x14ac:dyDescent="0.3">
      <c r="A205" s="4" t="str">
        <f>Tabla2[[#This Row],[TIPO2]]&amp;" "&amp;Tabla2[[#This Row],[ESTRUCTURA]]</f>
        <v>QUINTA BAJA 2.0 COTTRELL</v>
      </c>
      <c r="B205" s="15" t="s">
        <v>673</v>
      </c>
      <c r="C205" s="4" t="s">
        <v>674</v>
      </c>
      <c r="D205" s="4" t="s">
        <v>93</v>
      </c>
      <c r="E205" s="4" t="s">
        <v>90</v>
      </c>
      <c r="F205" s="4" t="s">
        <v>94</v>
      </c>
      <c r="G205" s="4" t="s">
        <v>102</v>
      </c>
      <c r="H205" s="4">
        <v>2024</v>
      </c>
      <c r="I205" s="4" t="s">
        <v>28</v>
      </c>
      <c r="J205" s="16" t="s">
        <v>254</v>
      </c>
      <c r="K205" s="16" t="s">
        <v>104</v>
      </c>
      <c r="L205" s="4" t="s">
        <v>31</v>
      </c>
      <c r="M205" s="4" t="s">
        <v>675</v>
      </c>
      <c r="N205" s="4" t="str">
        <f>VLOOKUP(Tabla2[[#This Row],[No. ECO]],Hoja1!A:D,2,FALSE)</f>
        <v>TY-T-</v>
      </c>
      <c r="O205" s="4" t="s">
        <v>41</v>
      </c>
      <c r="P205" s="44">
        <v>45533</v>
      </c>
      <c r="Q205" s="4" t="s">
        <v>47</v>
      </c>
    </row>
    <row r="206" spans="1:17" x14ac:dyDescent="0.3">
      <c r="A206" s="4" t="str">
        <f>Tabla2[[#This Row],[TIPO2]]&amp;" "&amp;Tabla2[[#This Row],[ESTRUCTURA]]</f>
        <v>QUINTA BAJA 2.0 COTTRELL</v>
      </c>
      <c r="B206" s="15" t="s">
        <v>676</v>
      </c>
      <c r="C206" s="4" t="s">
        <v>677</v>
      </c>
      <c r="D206" s="4" t="s">
        <v>93</v>
      </c>
      <c r="E206" s="4" t="s">
        <v>90</v>
      </c>
      <c r="F206" s="4" t="s">
        <v>94</v>
      </c>
      <c r="G206" s="4" t="s">
        <v>102</v>
      </c>
      <c r="H206" s="4">
        <v>2024</v>
      </c>
      <c r="I206" s="4" t="s">
        <v>28</v>
      </c>
      <c r="J206" s="16" t="s">
        <v>254</v>
      </c>
      <c r="K206" s="16" t="s">
        <v>104</v>
      </c>
      <c r="L206" s="4" t="s">
        <v>31</v>
      </c>
      <c r="M206" s="4" t="s">
        <v>678</v>
      </c>
      <c r="N206" s="4" t="str">
        <f>VLOOKUP(Tabla2[[#This Row],[No. ECO]],Hoja1!A:D,2,FALSE)</f>
        <v>TY-D-</v>
      </c>
      <c r="O206" s="4" t="s">
        <v>41</v>
      </c>
      <c r="P206" s="44">
        <v>45538</v>
      </c>
      <c r="Q206" s="4" t="s">
        <v>47</v>
      </c>
    </row>
    <row r="207" spans="1:17" x14ac:dyDescent="0.3">
      <c r="A207" s="4" t="str">
        <f>Tabla2[[#This Row],[TIPO2]]&amp;" "&amp;Tabla2[[#This Row],[ESTRUCTURA]]</f>
        <v>QUINTA BAJA 2.0 COTTRELL</v>
      </c>
      <c r="B207" s="15" t="s">
        <v>679</v>
      </c>
      <c r="C207" s="4" t="s">
        <v>680</v>
      </c>
      <c r="D207" s="4" t="s">
        <v>93</v>
      </c>
      <c r="E207" s="4" t="s">
        <v>90</v>
      </c>
      <c r="F207" s="4" t="s">
        <v>94</v>
      </c>
      <c r="G207" s="4" t="s">
        <v>102</v>
      </c>
      <c r="H207" s="4">
        <v>2024</v>
      </c>
      <c r="I207" s="4" t="s">
        <v>28</v>
      </c>
      <c r="J207" s="16" t="s">
        <v>254</v>
      </c>
      <c r="K207" s="16" t="s">
        <v>104</v>
      </c>
      <c r="L207" s="4" t="s">
        <v>31</v>
      </c>
      <c r="M207" s="4" t="s">
        <v>681</v>
      </c>
      <c r="N207" s="4" t="str">
        <f>VLOOKUP(Tabla2[[#This Row],[No. ECO]],Hoja1!A:D,2,FALSE)</f>
        <v>TY-T-</v>
      </c>
      <c r="O207" s="4" t="s">
        <v>41</v>
      </c>
      <c r="P207" s="44">
        <v>45545</v>
      </c>
      <c r="Q207" s="4" t="s">
        <v>47</v>
      </c>
    </row>
    <row r="208" spans="1:17" x14ac:dyDescent="0.3">
      <c r="A208" s="4" t="str">
        <f>Tabla2[[#This Row],[TIPO2]]&amp;" "&amp;Tabla2[[#This Row],[ESTRUCTURA]]</f>
        <v>QUINTA BAJA 2.0 COTTRELL</v>
      </c>
      <c r="B208" s="15" t="s">
        <v>682</v>
      </c>
      <c r="C208" s="4" t="s">
        <v>683</v>
      </c>
      <c r="D208" s="4" t="s">
        <v>93</v>
      </c>
      <c r="E208" s="4" t="s">
        <v>90</v>
      </c>
      <c r="F208" s="4" t="s">
        <v>94</v>
      </c>
      <c r="G208" s="4" t="s">
        <v>102</v>
      </c>
      <c r="H208" s="4">
        <v>2024</v>
      </c>
      <c r="I208" s="4" t="s">
        <v>28</v>
      </c>
      <c r="J208" s="16" t="s">
        <v>254</v>
      </c>
      <c r="K208" s="16" t="s">
        <v>104</v>
      </c>
      <c r="L208" s="4" t="s">
        <v>31</v>
      </c>
      <c r="M208" s="4" t="s">
        <v>684</v>
      </c>
      <c r="N208" s="4" t="str">
        <f>VLOOKUP(Tabla2[[#This Row],[No. ECO]],Hoja1!A:D,2,FALSE)</f>
        <v>GM-</v>
      </c>
      <c r="O208" s="4" t="s">
        <v>41</v>
      </c>
      <c r="P208" s="44">
        <v>45594</v>
      </c>
      <c r="Q208" s="4" t="s">
        <v>42</v>
      </c>
    </row>
    <row r="209" spans="1:17" x14ac:dyDescent="0.3">
      <c r="A209" s="4" t="str">
        <f>Tabla2[[#This Row],[TIPO2]]&amp;" "&amp;Tabla2[[#This Row],[ESTRUCTURA]]</f>
        <v>QUINTA BAJA 2.0 COTTRELL</v>
      </c>
      <c r="B209" s="15" t="s">
        <v>685</v>
      </c>
      <c r="C209" s="4" t="s">
        <v>686</v>
      </c>
      <c r="D209" s="4" t="s">
        <v>93</v>
      </c>
      <c r="E209" s="4" t="s">
        <v>90</v>
      </c>
      <c r="F209" s="4" t="s">
        <v>94</v>
      </c>
      <c r="G209" s="4" t="s">
        <v>102</v>
      </c>
      <c r="H209" s="4">
        <v>2024</v>
      </c>
      <c r="I209" s="4" t="s">
        <v>28</v>
      </c>
      <c r="J209" s="16" t="s">
        <v>254</v>
      </c>
      <c r="K209" s="16" t="s">
        <v>104</v>
      </c>
      <c r="L209" s="4" t="s">
        <v>31</v>
      </c>
      <c r="M209" s="4" t="s">
        <v>687</v>
      </c>
      <c r="N209" s="4" t="str">
        <f>VLOOKUP(Tabla2[[#This Row],[No. ECO]],Hoja1!A:D,2,FALSE)</f>
        <v>TY-EXP-</v>
      </c>
      <c r="O209" s="4" t="s">
        <v>41</v>
      </c>
      <c r="P209" s="44">
        <v>45553</v>
      </c>
      <c r="Q209" s="4" t="s">
        <v>47</v>
      </c>
    </row>
    <row r="210" spans="1:17" x14ac:dyDescent="0.3">
      <c r="A210" s="4" t="str">
        <f>Tabla2[[#This Row],[TIPO2]]&amp;" "&amp;Tabla2[[#This Row],[ESTRUCTURA]]</f>
        <v>QUINTA BAJA 2.0 COTTRELL</v>
      </c>
      <c r="B210" s="15" t="s">
        <v>688</v>
      </c>
      <c r="C210" s="4" t="s">
        <v>689</v>
      </c>
      <c r="D210" s="4" t="s">
        <v>93</v>
      </c>
      <c r="E210" s="4" t="s">
        <v>90</v>
      </c>
      <c r="F210" s="4" t="s">
        <v>94</v>
      </c>
      <c r="G210" s="4" t="s">
        <v>102</v>
      </c>
      <c r="H210" s="4">
        <v>2024</v>
      </c>
      <c r="I210" s="4" t="s">
        <v>28</v>
      </c>
      <c r="J210" s="16" t="s">
        <v>254</v>
      </c>
      <c r="K210" s="16" t="s">
        <v>104</v>
      </c>
      <c r="L210" s="4" t="s">
        <v>31</v>
      </c>
      <c r="M210" s="4" t="s">
        <v>690</v>
      </c>
      <c r="N210" s="4" t="str">
        <f>VLOOKUP(Tabla2[[#This Row],[No. ECO]],Hoja1!A:D,2,FALSE)</f>
        <v>AU-</v>
      </c>
      <c r="O210" s="4" t="s">
        <v>33</v>
      </c>
      <c r="P210" s="44"/>
      <c r="Q210" s="4"/>
    </row>
    <row r="211" spans="1:17" x14ac:dyDescent="0.3">
      <c r="A211" s="4" t="str">
        <f>Tabla2[[#This Row],[TIPO2]]&amp;" "&amp;Tabla2[[#This Row],[ESTRUCTURA]]</f>
        <v>FULL COTTRELL</v>
      </c>
      <c r="B211" s="15" t="s">
        <v>691</v>
      </c>
      <c r="C211" s="4" t="s">
        <v>692</v>
      </c>
      <c r="D211" s="4" t="s">
        <v>93</v>
      </c>
      <c r="E211" s="4" t="s">
        <v>90</v>
      </c>
      <c r="F211" s="4" t="s">
        <v>94</v>
      </c>
      <c r="G211" s="4" t="s">
        <v>102</v>
      </c>
      <c r="H211" s="4">
        <v>2024</v>
      </c>
      <c r="I211" s="4" t="s">
        <v>28</v>
      </c>
      <c r="J211" s="16" t="s">
        <v>96</v>
      </c>
      <c r="K211" s="16" t="s">
        <v>96</v>
      </c>
      <c r="L211" s="4" t="s">
        <v>97</v>
      </c>
      <c r="M211" s="4" t="s">
        <v>693</v>
      </c>
      <c r="N211" s="4" t="str">
        <f>VLOOKUP(Tabla2[[#This Row],[No. ECO]],Hoja1!A:D,2,FALSE)</f>
        <v>TY-T-</v>
      </c>
      <c r="O211" s="4" t="s">
        <v>33</v>
      </c>
      <c r="P211" s="44"/>
      <c r="Q211" s="4"/>
    </row>
    <row r="212" spans="1:17" x14ac:dyDescent="0.3">
      <c r="A212" s="4" t="str">
        <f>Tabla2[[#This Row],[TIPO2]]&amp;" "&amp;Tabla2[[#This Row],[ESTRUCTURA]]</f>
        <v>QUINTA BAJA 2.0 COTTRELL</v>
      </c>
      <c r="B212" s="15" t="s">
        <v>694</v>
      </c>
      <c r="C212" s="4" t="s">
        <v>695</v>
      </c>
      <c r="D212" s="4" t="s">
        <v>93</v>
      </c>
      <c r="E212" s="4" t="s">
        <v>90</v>
      </c>
      <c r="F212" s="4" t="s">
        <v>94</v>
      </c>
      <c r="G212" s="4" t="s">
        <v>102</v>
      </c>
      <c r="H212" s="4">
        <v>2024</v>
      </c>
      <c r="I212" s="4" t="s">
        <v>28</v>
      </c>
      <c r="J212" s="16" t="s">
        <v>254</v>
      </c>
      <c r="K212" s="16" t="s">
        <v>104</v>
      </c>
      <c r="L212" s="4" t="s">
        <v>31</v>
      </c>
      <c r="M212" s="4" t="s">
        <v>696</v>
      </c>
      <c r="N212" s="4" t="str">
        <f>VLOOKUP(Tabla2[[#This Row],[No. ECO]],Hoja1!A:D,2,FALSE)</f>
        <v>GM-</v>
      </c>
      <c r="O212" s="4" t="s">
        <v>41</v>
      </c>
      <c r="P212" s="44">
        <v>45582</v>
      </c>
      <c r="Q212" s="4" t="s">
        <v>42</v>
      </c>
    </row>
    <row r="213" spans="1:17" x14ac:dyDescent="0.3">
      <c r="A213" s="4" t="str">
        <f>Tabla2[[#This Row],[TIPO2]]&amp;" "&amp;Tabla2[[#This Row],[ESTRUCTURA]]</f>
        <v>QUINTA BAJA 2.0 COTTRELL</v>
      </c>
      <c r="B213" s="15" t="s">
        <v>697</v>
      </c>
      <c r="C213" s="4" t="s">
        <v>698</v>
      </c>
      <c r="D213" s="4" t="s">
        <v>93</v>
      </c>
      <c r="E213" s="4" t="s">
        <v>90</v>
      </c>
      <c r="F213" s="4" t="s">
        <v>94</v>
      </c>
      <c r="G213" s="4" t="s">
        <v>102</v>
      </c>
      <c r="H213" s="4">
        <v>2024</v>
      </c>
      <c r="I213" s="4" t="s">
        <v>28</v>
      </c>
      <c r="J213" s="16" t="s">
        <v>254</v>
      </c>
      <c r="K213" s="16" t="s">
        <v>104</v>
      </c>
      <c r="L213" s="4" t="s">
        <v>31</v>
      </c>
      <c r="M213" s="4" t="s">
        <v>699</v>
      </c>
      <c r="N213" s="4" t="str">
        <f>VLOOKUP(Tabla2[[#This Row],[No. ECO]],Hoja1!A:D,2,FALSE)</f>
        <v>AU-</v>
      </c>
      <c r="O213" s="4" t="s">
        <v>33</v>
      </c>
      <c r="P213" s="44"/>
      <c r="Q213" s="4"/>
    </row>
    <row r="214" spans="1:17" x14ac:dyDescent="0.3">
      <c r="A214" s="4" t="str">
        <f>Tabla2[[#This Row],[TIPO2]]&amp;" "&amp;Tabla2[[#This Row],[ESTRUCTURA]]</f>
        <v>QUINTA BAJA 2.0 COTTRELL</v>
      </c>
      <c r="B214" s="15" t="s">
        <v>700</v>
      </c>
      <c r="C214" s="4" t="s">
        <v>701</v>
      </c>
      <c r="D214" s="4" t="s">
        <v>93</v>
      </c>
      <c r="E214" s="4" t="s">
        <v>90</v>
      </c>
      <c r="F214" s="4" t="s">
        <v>94</v>
      </c>
      <c r="G214" s="4" t="s">
        <v>102</v>
      </c>
      <c r="H214" s="4">
        <v>2024</v>
      </c>
      <c r="I214" s="4" t="s">
        <v>28</v>
      </c>
      <c r="J214" s="16" t="s">
        <v>254</v>
      </c>
      <c r="K214" s="16" t="s">
        <v>104</v>
      </c>
      <c r="L214" s="4" t="s">
        <v>31</v>
      </c>
      <c r="M214" s="4" t="s">
        <v>702</v>
      </c>
      <c r="N214" s="4" t="str">
        <f>VLOOKUP(Tabla2[[#This Row],[No. ECO]],Hoja1!A:D,2,FALSE)</f>
        <v>GM-</v>
      </c>
      <c r="O214" s="4" t="s">
        <v>33</v>
      </c>
      <c r="P214" s="44"/>
      <c r="Q214" s="4"/>
    </row>
    <row r="215" spans="1:17" x14ac:dyDescent="0.3">
      <c r="A215" s="4" t="str">
        <f>Tabla2[[#This Row],[TIPO2]]&amp;" "&amp;Tabla2[[#This Row],[ESTRUCTURA]]</f>
        <v>QUINTA BAJA 2.0 COTTRELL</v>
      </c>
      <c r="B215" s="15" t="s">
        <v>703</v>
      </c>
      <c r="C215" s="4" t="s">
        <v>704</v>
      </c>
      <c r="D215" s="4" t="s">
        <v>93</v>
      </c>
      <c r="E215" s="4" t="s">
        <v>90</v>
      </c>
      <c r="F215" s="4" t="s">
        <v>94</v>
      </c>
      <c r="G215" s="4" t="s">
        <v>102</v>
      </c>
      <c r="H215" s="4">
        <v>2024</v>
      </c>
      <c r="I215" s="4" t="s">
        <v>28</v>
      </c>
      <c r="J215" s="16" t="s">
        <v>254</v>
      </c>
      <c r="K215" s="16" t="s">
        <v>104</v>
      </c>
      <c r="L215" s="4" t="s">
        <v>31</v>
      </c>
      <c r="M215" s="4" t="s">
        <v>705</v>
      </c>
      <c r="N215" s="4" t="str">
        <f>VLOOKUP(Tabla2[[#This Row],[No. ECO]],Hoja1!A:D,2,FALSE)</f>
        <v>TY-APASEO-</v>
      </c>
      <c r="O215" s="4" t="s">
        <v>33</v>
      </c>
      <c r="P215" s="44"/>
      <c r="Q215" s="4"/>
    </row>
    <row r="216" spans="1:17" x14ac:dyDescent="0.3">
      <c r="A216" s="4" t="str">
        <f>Tabla2[[#This Row],[TIPO2]]&amp;" "&amp;Tabla2[[#This Row],[ESTRUCTURA]]</f>
        <v>QUINTA BAJA 2.0 COTTRELL</v>
      </c>
      <c r="B216" s="15" t="s">
        <v>706</v>
      </c>
      <c r="C216" s="4" t="s">
        <v>707</v>
      </c>
      <c r="D216" s="4" t="s">
        <v>93</v>
      </c>
      <c r="E216" s="4" t="s">
        <v>90</v>
      </c>
      <c r="F216" s="4" t="s">
        <v>94</v>
      </c>
      <c r="G216" s="4" t="s">
        <v>102</v>
      </c>
      <c r="H216" s="4">
        <v>2024</v>
      </c>
      <c r="I216" s="4" t="s">
        <v>28</v>
      </c>
      <c r="J216" s="16" t="s">
        <v>254</v>
      </c>
      <c r="K216" s="16" t="s">
        <v>104</v>
      </c>
      <c r="L216" s="4" t="s">
        <v>31</v>
      </c>
      <c r="M216" s="4" t="s">
        <v>708</v>
      </c>
      <c r="N216" s="4" t="str">
        <f>VLOOKUP(Tabla2[[#This Row],[No. ECO]],Hoja1!A:D,2,FALSE)</f>
        <v>TY-D-</v>
      </c>
      <c r="O216" s="4" t="s">
        <v>41</v>
      </c>
      <c r="P216" s="44">
        <v>45548</v>
      </c>
      <c r="Q216" s="4" t="s">
        <v>47</v>
      </c>
    </row>
    <row r="217" spans="1:17" x14ac:dyDescent="0.3">
      <c r="A217" s="4" t="str">
        <f>Tabla2[[#This Row],[TIPO2]]&amp;" "&amp;Tabla2[[#This Row],[ESTRUCTURA]]</f>
        <v>QUINTA BAJA COTTRELL</v>
      </c>
      <c r="B217" s="15" t="s">
        <v>709</v>
      </c>
      <c r="C217" s="4" t="s">
        <v>710</v>
      </c>
      <c r="D217" s="4" t="s">
        <v>93</v>
      </c>
      <c r="E217" s="4" t="s">
        <v>90</v>
      </c>
      <c r="F217" s="4" t="s">
        <v>94</v>
      </c>
      <c r="G217" s="4" t="s">
        <v>102</v>
      </c>
      <c r="H217" s="4">
        <v>2024</v>
      </c>
      <c r="I217" s="4" t="s">
        <v>28</v>
      </c>
      <c r="J217" s="16" t="s">
        <v>103</v>
      </c>
      <c r="K217" s="16" t="s">
        <v>104</v>
      </c>
      <c r="L217" s="4" t="s">
        <v>97</v>
      </c>
      <c r="M217" s="4" t="s">
        <v>711</v>
      </c>
      <c r="N217" s="4" t="str">
        <f>VLOOKUP(Tabla2[[#This Row],[No. ECO]],Hoja1!A:D,2,FALSE)</f>
        <v>TY-D-</v>
      </c>
      <c r="O217" s="4" t="s">
        <v>41</v>
      </c>
      <c r="P217" s="44">
        <v>45546</v>
      </c>
      <c r="Q217" s="4" t="s">
        <v>47</v>
      </c>
    </row>
    <row r="218" spans="1:17" x14ac:dyDescent="0.3">
      <c r="A218" s="14" t="str">
        <f>Tabla2[[#This Row],[TIPO2]]&amp;" "&amp;Tabla2[[#This Row],[ESTRUCTURA]]</f>
        <v>QUINTA BAJA 2.0 COTTRELL</v>
      </c>
      <c r="B218" s="17" t="s">
        <v>712</v>
      </c>
      <c r="C218" s="14" t="s">
        <v>713</v>
      </c>
      <c r="D218" s="14" t="s">
        <v>93</v>
      </c>
      <c r="E218" s="14" t="s">
        <v>90</v>
      </c>
      <c r="F218" s="14" t="s">
        <v>94</v>
      </c>
      <c r="G218" s="14" t="s">
        <v>102</v>
      </c>
      <c r="H218" s="14">
        <v>2024</v>
      </c>
      <c r="I218" s="14" t="s">
        <v>28</v>
      </c>
      <c r="J218" s="16" t="s">
        <v>254</v>
      </c>
      <c r="K218" s="18" t="s">
        <v>104</v>
      </c>
      <c r="L218" s="14" t="s">
        <v>31</v>
      </c>
      <c r="M218" s="4" t="s">
        <v>714</v>
      </c>
      <c r="N218" s="4" t="str">
        <f>VLOOKUP(Tabla2[[#This Row],[No. ECO]],Hoja1!A:D,2,FALSE)</f>
        <v>GM-</v>
      </c>
      <c r="O218" s="4" t="s">
        <v>33</v>
      </c>
      <c r="P218" s="44"/>
      <c r="Q218" s="4"/>
    </row>
    <row r="219" spans="1:17" x14ac:dyDescent="0.3">
      <c r="A219" s="4" t="str">
        <f>Tabla2[[#This Row],[TIPO2]]&amp;" "&amp;Tabla2[[#This Row],[ESTRUCTURA]]</f>
        <v>QUINTA BAJA COTTRELL</v>
      </c>
      <c r="B219" s="15" t="s">
        <v>715</v>
      </c>
      <c r="C219" s="4" t="s">
        <v>716</v>
      </c>
      <c r="D219" s="14" t="s">
        <v>93</v>
      </c>
      <c r="E219" s="14" t="s">
        <v>90</v>
      </c>
      <c r="F219" s="14" t="s">
        <v>94</v>
      </c>
      <c r="G219" s="14" t="s">
        <v>102</v>
      </c>
      <c r="H219" s="14">
        <v>2024</v>
      </c>
      <c r="I219" s="14" t="s">
        <v>28</v>
      </c>
      <c r="J219" s="16" t="s">
        <v>103</v>
      </c>
      <c r="K219" s="18" t="s">
        <v>104</v>
      </c>
      <c r="L219" s="4" t="s">
        <v>97</v>
      </c>
      <c r="M219" s="4" t="s">
        <v>717</v>
      </c>
      <c r="N219" s="4" t="str">
        <f>VLOOKUP(Tabla2[[#This Row],[No. ECO]],Hoja1!A:D,2,FALSE)</f>
        <v>BMW-</v>
      </c>
      <c r="O219" s="4" t="s">
        <v>41</v>
      </c>
      <c r="P219" s="44">
        <v>45595</v>
      </c>
      <c r="Q219" s="4" t="s">
        <v>42</v>
      </c>
    </row>
    <row r="220" spans="1:17" x14ac:dyDescent="0.3">
      <c r="A220" s="4" t="str">
        <f>Tabla2[[#This Row],[TIPO2]]&amp;" "&amp;Tabla2[[#This Row],[ESTRUCTURA]]</f>
        <v>QUINTA BAJA 2.0 COTTRELL</v>
      </c>
      <c r="B220" s="15" t="s">
        <v>718</v>
      </c>
      <c r="C220" s="4" t="s">
        <v>719</v>
      </c>
      <c r="D220" s="4" t="s">
        <v>93</v>
      </c>
      <c r="E220" s="4" t="s">
        <v>90</v>
      </c>
      <c r="F220" s="4" t="s">
        <v>94</v>
      </c>
      <c r="G220" s="4" t="s">
        <v>102</v>
      </c>
      <c r="H220" s="4">
        <v>2024</v>
      </c>
      <c r="I220" s="4" t="s">
        <v>28</v>
      </c>
      <c r="J220" s="16" t="s">
        <v>254</v>
      </c>
      <c r="K220" s="16" t="s">
        <v>104</v>
      </c>
      <c r="L220" s="4" t="s">
        <v>31</v>
      </c>
      <c r="M220" s="4" t="s">
        <v>720</v>
      </c>
      <c r="N220" s="4" t="str">
        <f>VLOOKUP(Tabla2[[#This Row],[No. ECO]],Hoja1!A:D,2,FALSE)</f>
        <v>TY-T-</v>
      </c>
      <c r="O220" s="4" t="s">
        <v>41</v>
      </c>
      <c r="P220" s="44">
        <v>45548</v>
      </c>
      <c r="Q220" s="4" t="s">
        <v>47</v>
      </c>
    </row>
    <row r="221" spans="1:17" x14ac:dyDescent="0.3">
      <c r="A221" s="4" t="str">
        <f>Tabla2[[#This Row],[TIPO2]]&amp;" "&amp;Tabla2[[#This Row],[ESTRUCTURA]]</f>
        <v>QUINTA BAJA COTTRELL</v>
      </c>
      <c r="B221" s="15" t="s">
        <v>721</v>
      </c>
      <c r="C221" s="4" t="s">
        <v>722</v>
      </c>
      <c r="D221" s="4" t="s">
        <v>93</v>
      </c>
      <c r="E221" s="4" t="s">
        <v>90</v>
      </c>
      <c r="F221" s="4" t="s">
        <v>94</v>
      </c>
      <c r="G221" s="4" t="s">
        <v>102</v>
      </c>
      <c r="H221" s="4">
        <v>2024</v>
      </c>
      <c r="I221" s="4" t="s">
        <v>28</v>
      </c>
      <c r="J221" s="16" t="s">
        <v>103</v>
      </c>
      <c r="K221" s="16" t="s">
        <v>104</v>
      </c>
      <c r="L221" s="4" t="s">
        <v>97</v>
      </c>
      <c r="M221" s="4" t="s">
        <v>723</v>
      </c>
      <c r="N221" s="4" t="str">
        <f>VLOOKUP(Tabla2[[#This Row],[No. ECO]],Hoja1!A:D,2,FALSE)</f>
        <v>GM-</v>
      </c>
      <c r="O221" s="4" t="s">
        <v>41</v>
      </c>
      <c r="P221" s="44">
        <v>45591</v>
      </c>
      <c r="Q221" s="4" t="s">
        <v>42</v>
      </c>
    </row>
    <row r="222" spans="1:17" x14ac:dyDescent="0.3">
      <c r="A222" s="4" t="str">
        <f>Tabla2[[#This Row],[TIPO2]]&amp;" "&amp;Tabla2[[#This Row],[ESTRUCTURA]]</f>
        <v>QUINTA BAJA 2.0 COTTRELL</v>
      </c>
      <c r="B222" s="15" t="s">
        <v>724</v>
      </c>
      <c r="C222" s="4" t="s">
        <v>725</v>
      </c>
      <c r="D222" s="4" t="s">
        <v>93</v>
      </c>
      <c r="E222" s="4" t="s">
        <v>90</v>
      </c>
      <c r="F222" s="4" t="s">
        <v>94</v>
      </c>
      <c r="G222" s="4" t="s">
        <v>102</v>
      </c>
      <c r="H222" s="4">
        <v>2024</v>
      </c>
      <c r="I222" s="4" t="s">
        <v>28</v>
      </c>
      <c r="J222" s="16" t="s">
        <v>254</v>
      </c>
      <c r="K222" s="16" t="s">
        <v>104</v>
      </c>
      <c r="L222" s="4" t="s">
        <v>31</v>
      </c>
      <c r="M222" s="4" t="s">
        <v>726</v>
      </c>
      <c r="N222" s="4" t="str">
        <f>VLOOKUP(Tabla2[[#This Row],[No. ECO]],Hoja1!A:D,2,FALSE)</f>
        <v>TY-D-</v>
      </c>
      <c r="O222" s="4" t="s">
        <v>41</v>
      </c>
      <c r="P222" s="44">
        <v>45542</v>
      </c>
      <c r="Q222" s="4" t="s">
        <v>47</v>
      </c>
    </row>
    <row r="223" spans="1:17" x14ac:dyDescent="0.3">
      <c r="A223" s="4" t="str">
        <f>Tabla2[[#This Row],[TIPO2]]&amp;" "&amp;Tabla2[[#This Row],[ESTRUCTURA]]</f>
        <v>QUINTA BAJA COTTRELL</v>
      </c>
      <c r="B223" s="15" t="s">
        <v>727</v>
      </c>
      <c r="C223" s="4" t="s">
        <v>728</v>
      </c>
      <c r="D223" s="4" t="s">
        <v>93</v>
      </c>
      <c r="E223" s="4" t="s">
        <v>90</v>
      </c>
      <c r="F223" s="4" t="s">
        <v>94</v>
      </c>
      <c r="G223" s="4" t="s">
        <v>102</v>
      </c>
      <c r="H223" s="4">
        <v>2024</v>
      </c>
      <c r="I223" s="4" t="s">
        <v>28</v>
      </c>
      <c r="J223" s="16" t="s">
        <v>103</v>
      </c>
      <c r="K223" s="16" t="s">
        <v>104</v>
      </c>
      <c r="L223" s="4" t="s">
        <v>97</v>
      </c>
      <c r="M223" s="4" t="s">
        <v>729</v>
      </c>
      <c r="N223" s="4" t="str">
        <f>VLOOKUP(Tabla2[[#This Row],[No. ECO]],Hoja1!A:D,2,FALSE)</f>
        <v>TY-EXP-</v>
      </c>
      <c r="O223" s="4" t="s">
        <v>41</v>
      </c>
      <c r="P223" s="44">
        <v>45554</v>
      </c>
      <c r="Q223" s="4" t="s">
        <v>47</v>
      </c>
    </row>
    <row r="224" spans="1:17" x14ac:dyDescent="0.3">
      <c r="A224" s="4" t="str">
        <f>Tabla2[[#This Row],[TIPO2]]&amp;" "&amp;Tabla2[[#This Row],[ESTRUCTURA]]</f>
        <v>QUINTA BAJA COTTRELL</v>
      </c>
      <c r="B224" s="15" t="s">
        <v>730</v>
      </c>
      <c r="C224" s="4" t="s">
        <v>731</v>
      </c>
      <c r="D224" s="4" t="s">
        <v>93</v>
      </c>
      <c r="E224" s="4" t="s">
        <v>90</v>
      </c>
      <c r="F224" s="4" t="s">
        <v>94</v>
      </c>
      <c r="G224" s="4" t="s">
        <v>102</v>
      </c>
      <c r="H224" s="4">
        <v>2024</v>
      </c>
      <c r="I224" s="4" t="s">
        <v>28</v>
      </c>
      <c r="J224" s="16" t="s">
        <v>103</v>
      </c>
      <c r="K224" s="16" t="s">
        <v>104</v>
      </c>
      <c r="L224" s="4" t="s">
        <v>97</v>
      </c>
      <c r="M224" s="4" t="s">
        <v>732</v>
      </c>
      <c r="N224" s="4" t="str">
        <f>VLOOKUP(Tabla2[[#This Row],[No. ECO]],Hoja1!A:D,2,FALSE)</f>
        <v>GM-</v>
      </c>
      <c r="O224" s="4" t="s">
        <v>41</v>
      </c>
      <c r="P224" s="44">
        <v>45610</v>
      </c>
      <c r="Q224" s="4" t="s">
        <v>42</v>
      </c>
    </row>
    <row r="225" spans="1:17" x14ac:dyDescent="0.3">
      <c r="A225" s="4" t="str">
        <f>Tabla2[[#This Row],[TIPO2]]&amp;" "&amp;Tabla2[[#This Row],[ESTRUCTURA]]</f>
        <v>QUINTA BAJA COTTRELL</v>
      </c>
      <c r="B225" s="15" t="s">
        <v>733</v>
      </c>
      <c r="C225" s="4" t="s">
        <v>734</v>
      </c>
      <c r="D225" s="4" t="s">
        <v>93</v>
      </c>
      <c r="E225" s="4" t="s">
        <v>90</v>
      </c>
      <c r="F225" s="4" t="s">
        <v>94</v>
      </c>
      <c r="G225" s="4" t="s">
        <v>102</v>
      </c>
      <c r="H225" s="4">
        <v>2024</v>
      </c>
      <c r="I225" s="4" t="s">
        <v>28</v>
      </c>
      <c r="J225" s="16" t="s">
        <v>103</v>
      </c>
      <c r="K225" s="16" t="s">
        <v>104</v>
      </c>
      <c r="L225" s="4" t="s">
        <v>97</v>
      </c>
      <c r="M225" s="4" t="s">
        <v>735</v>
      </c>
      <c r="N225" s="4" t="str">
        <f>VLOOKUP(Tabla2[[#This Row],[No. ECO]],Hoja1!A:D,2,FALSE)</f>
        <v>GM-</v>
      </c>
      <c r="O225" s="4" t="s">
        <v>33</v>
      </c>
      <c r="P225" s="44"/>
      <c r="Q225" s="4"/>
    </row>
    <row r="226" spans="1:17" x14ac:dyDescent="0.3">
      <c r="A226" s="4" t="str">
        <f>Tabla2[[#This Row],[TIPO2]]&amp;" "&amp;Tabla2[[#This Row],[ESTRUCTURA]]</f>
        <v>QUINTA BAJA COTTRELL</v>
      </c>
      <c r="B226" s="15" t="s">
        <v>736</v>
      </c>
      <c r="C226" s="4" t="s">
        <v>737</v>
      </c>
      <c r="D226" s="4" t="s">
        <v>93</v>
      </c>
      <c r="E226" s="4" t="s">
        <v>90</v>
      </c>
      <c r="F226" s="4" t="s">
        <v>94</v>
      </c>
      <c r="G226" s="4" t="s">
        <v>102</v>
      </c>
      <c r="H226" s="4">
        <v>2024</v>
      </c>
      <c r="I226" s="4" t="s">
        <v>28</v>
      </c>
      <c r="J226" s="16" t="s">
        <v>103</v>
      </c>
      <c r="K226" s="16" t="s">
        <v>104</v>
      </c>
      <c r="L226" s="4" t="s">
        <v>97</v>
      </c>
      <c r="M226" s="4" t="s">
        <v>738</v>
      </c>
      <c r="N226" s="4" t="str">
        <f>VLOOKUP(Tabla2[[#This Row],[No. ECO]],Hoja1!A:D,2,FALSE)</f>
        <v>GM-</v>
      </c>
      <c r="O226" s="4" t="s">
        <v>33</v>
      </c>
      <c r="P226" s="44"/>
      <c r="Q226" s="4"/>
    </row>
    <row r="227" spans="1:17" x14ac:dyDescent="0.3">
      <c r="A227" s="4" t="str">
        <f>Tabla2[[#This Row],[TIPO2]]&amp;" "&amp;Tabla2[[#This Row],[ESTRUCTURA]]</f>
        <v>QUINTA BAJA COTTRELL</v>
      </c>
      <c r="B227" s="15" t="s">
        <v>739</v>
      </c>
      <c r="C227" s="4" t="s">
        <v>740</v>
      </c>
      <c r="D227" s="4" t="s">
        <v>93</v>
      </c>
      <c r="E227" s="4" t="s">
        <v>90</v>
      </c>
      <c r="F227" s="4" t="s">
        <v>94</v>
      </c>
      <c r="G227" s="4" t="s">
        <v>102</v>
      </c>
      <c r="H227" s="4">
        <v>2024</v>
      </c>
      <c r="I227" s="4" t="s">
        <v>28</v>
      </c>
      <c r="J227" s="16" t="s">
        <v>103</v>
      </c>
      <c r="K227" s="16" t="s">
        <v>104</v>
      </c>
      <c r="L227" s="4" t="s">
        <v>97</v>
      </c>
      <c r="M227" s="4" t="s">
        <v>741</v>
      </c>
      <c r="N227" s="4" t="str">
        <f>VLOOKUP(Tabla2[[#This Row],[No. ECO]],Hoja1!A:D,2,FALSE)</f>
        <v>TY-T-</v>
      </c>
      <c r="O227" s="4" t="s">
        <v>41</v>
      </c>
      <c r="P227" s="44">
        <v>45556</v>
      </c>
      <c r="Q227" s="4" t="s">
        <v>47</v>
      </c>
    </row>
    <row r="228" spans="1:17" x14ac:dyDescent="0.3">
      <c r="A228" s="4" t="str">
        <f>Tabla2[[#This Row],[TIPO2]]&amp;" "&amp;Tabla2[[#This Row],[ESTRUCTURA]]</f>
        <v>QUINTA BAJA COTTRELL</v>
      </c>
      <c r="B228" s="15" t="s">
        <v>742</v>
      </c>
      <c r="C228" s="4" t="s">
        <v>743</v>
      </c>
      <c r="D228" s="4" t="s">
        <v>93</v>
      </c>
      <c r="E228" s="4" t="s">
        <v>90</v>
      </c>
      <c r="F228" s="4" t="s">
        <v>94</v>
      </c>
      <c r="G228" s="4" t="s">
        <v>102</v>
      </c>
      <c r="H228" s="4">
        <v>2024</v>
      </c>
      <c r="I228" s="4" t="s">
        <v>28</v>
      </c>
      <c r="J228" s="16" t="s">
        <v>103</v>
      </c>
      <c r="K228" s="16" t="s">
        <v>104</v>
      </c>
      <c r="L228" s="4" t="s">
        <v>97</v>
      </c>
      <c r="M228" s="4" t="s">
        <v>744</v>
      </c>
      <c r="N228" s="4" t="str">
        <f>VLOOKUP(Tabla2[[#This Row],[No. ECO]],Hoja1!A:D,2,FALSE)</f>
        <v>GM-</v>
      </c>
      <c r="O228" s="4" t="s">
        <v>41</v>
      </c>
      <c r="P228" s="44">
        <v>45572</v>
      </c>
      <c r="Q228" s="4" t="s">
        <v>42</v>
      </c>
    </row>
    <row r="229" spans="1:17" x14ac:dyDescent="0.3">
      <c r="A229" s="4" t="str">
        <f>Tabla2[[#This Row],[TIPO2]]&amp;" "&amp;Tabla2[[#This Row],[ESTRUCTURA]]</f>
        <v>QUINTA BAJA COTTRELL</v>
      </c>
      <c r="B229" s="15" t="s">
        <v>745</v>
      </c>
      <c r="C229" s="4" t="s">
        <v>746</v>
      </c>
      <c r="D229" s="4" t="s">
        <v>93</v>
      </c>
      <c r="E229" s="4" t="s">
        <v>90</v>
      </c>
      <c r="F229" s="4" t="s">
        <v>94</v>
      </c>
      <c r="G229" s="4" t="s">
        <v>102</v>
      </c>
      <c r="H229" s="4">
        <v>2024</v>
      </c>
      <c r="I229" s="4" t="s">
        <v>28</v>
      </c>
      <c r="J229" s="16" t="s">
        <v>103</v>
      </c>
      <c r="K229" s="16" t="s">
        <v>104</v>
      </c>
      <c r="L229" s="4" t="s">
        <v>97</v>
      </c>
      <c r="M229" s="4" t="s">
        <v>747</v>
      </c>
      <c r="N229" s="4" t="str">
        <f>VLOOKUP(Tabla2[[#This Row],[No. ECO]],Hoja1!A:D,2,FALSE)</f>
        <v>BMW-</v>
      </c>
      <c r="O229" s="4" t="s">
        <v>33</v>
      </c>
      <c r="P229" s="44"/>
      <c r="Q229" s="4"/>
    </row>
    <row r="230" spans="1:17" x14ac:dyDescent="0.3">
      <c r="A230" s="4" t="str">
        <f>Tabla2[[#This Row],[TIPO2]]&amp;" "&amp;Tabla2[[#This Row],[ESTRUCTURA]]</f>
        <v>FULL COTTRELL</v>
      </c>
      <c r="B230" s="15" t="s">
        <v>748</v>
      </c>
      <c r="C230" s="4" t="s">
        <v>749</v>
      </c>
      <c r="D230" s="4" t="s">
        <v>93</v>
      </c>
      <c r="E230" s="4" t="s">
        <v>90</v>
      </c>
      <c r="F230" s="4" t="s">
        <v>94</v>
      </c>
      <c r="G230" s="4" t="s">
        <v>102</v>
      </c>
      <c r="H230" s="4">
        <v>2025</v>
      </c>
      <c r="I230" s="4" t="s">
        <v>28</v>
      </c>
      <c r="J230" s="16" t="s">
        <v>96</v>
      </c>
      <c r="K230" s="16" t="s">
        <v>96</v>
      </c>
      <c r="L230" s="4" t="s">
        <v>97</v>
      </c>
      <c r="M230" s="4" t="s">
        <v>750</v>
      </c>
      <c r="N230" s="4" t="str">
        <f>VLOOKUP(Tabla2[[#This Row],[No. ECO]],Hoja1!A:D,2,FALSE)</f>
        <v>TY-T-</v>
      </c>
      <c r="O230" s="4" t="s">
        <v>33</v>
      </c>
      <c r="P230" s="44">
        <v>45581</v>
      </c>
      <c r="Q230" s="4"/>
    </row>
    <row r="231" spans="1:17" x14ac:dyDescent="0.3">
      <c r="A231" s="4" t="str">
        <f>Tabla2[[#This Row],[TIPO2]]&amp;" "&amp;Tabla2[[#This Row],[ESTRUCTURA]]</f>
        <v>QUINTA BAJA COTTRELL</v>
      </c>
      <c r="B231" s="15" t="s">
        <v>751</v>
      </c>
      <c r="C231" s="4" t="s">
        <v>752</v>
      </c>
      <c r="D231" s="4" t="s">
        <v>93</v>
      </c>
      <c r="E231" s="4" t="s">
        <v>90</v>
      </c>
      <c r="F231" s="4" t="s">
        <v>94</v>
      </c>
      <c r="G231" s="4" t="s">
        <v>102</v>
      </c>
      <c r="H231" s="4">
        <v>2025</v>
      </c>
      <c r="I231" s="4" t="s">
        <v>28</v>
      </c>
      <c r="J231" s="16" t="s">
        <v>103</v>
      </c>
      <c r="K231" s="16" t="s">
        <v>104</v>
      </c>
      <c r="L231" s="4" t="s">
        <v>97</v>
      </c>
      <c r="M231" s="4" t="s">
        <v>753</v>
      </c>
      <c r="N231" s="4" t="str">
        <f>VLOOKUP(Tabla2[[#This Row],[No. ECO]],Hoja1!A:D,2,FALSE)</f>
        <v>SIN CLIENTE-</v>
      </c>
      <c r="O231" s="4" t="s">
        <v>41</v>
      </c>
      <c r="P231" s="44">
        <v>45572</v>
      </c>
      <c r="Q231" s="4" t="s">
        <v>47</v>
      </c>
    </row>
    <row r="232" spans="1:17" x14ac:dyDescent="0.3">
      <c r="A232" s="4" t="str">
        <f>Tabla2[[#This Row],[TIPO2]]&amp;" "&amp;Tabla2[[#This Row],[ESTRUCTURA]]</f>
        <v>FULL COTTRELL</v>
      </c>
      <c r="B232" s="15" t="s">
        <v>754</v>
      </c>
      <c r="C232" s="4" t="s">
        <v>755</v>
      </c>
      <c r="D232" s="4" t="s">
        <v>93</v>
      </c>
      <c r="E232" s="4" t="s">
        <v>90</v>
      </c>
      <c r="F232" s="4" t="s">
        <v>94</v>
      </c>
      <c r="G232" s="4" t="s">
        <v>102</v>
      </c>
      <c r="H232" s="4">
        <v>2025</v>
      </c>
      <c r="I232" s="4" t="s">
        <v>28</v>
      </c>
      <c r="J232" s="16" t="s">
        <v>96</v>
      </c>
      <c r="K232" s="16" t="s">
        <v>96</v>
      </c>
      <c r="L232" s="4" t="s">
        <v>97</v>
      </c>
      <c r="M232" s="4" t="s">
        <v>756</v>
      </c>
      <c r="N232" s="4" t="str">
        <f>VLOOKUP(Tabla2[[#This Row],[No. ECO]],Hoja1!A:D,2,FALSE)</f>
        <v>TY-D-</v>
      </c>
      <c r="O232" s="4" t="s">
        <v>41</v>
      </c>
      <c r="P232" s="44">
        <v>45593</v>
      </c>
      <c r="Q232" s="4" t="s">
        <v>42</v>
      </c>
    </row>
    <row r="233" spans="1:17" x14ac:dyDescent="0.3">
      <c r="A233" s="4" t="str">
        <f>Tabla2[[#This Row],[TIPO2]]&amp;" "&amp;Tabla2[[#This Row],[ESTRUCTURA]]</f>
        <v>QUINTA BAJA COTTRELL</v>
      </c>
      <c r="B233" s="15" t="s">
        <v>757</v>
      </c>
      <c r="C233" s="4" t="s">
        <v>758</v>
      </c>
      <c r="D233" s="4" t="s">
        <v>93</v>
      </c>
      <c r="E233" s="4" t="s">
        <v>90</v>
      </c>
      <c r="F233" s="4" t="s">
        <v>94</v>
      </c>
      <c r="G233" s="4" t="s">
        <v>102</v>
      </c>
      <c r="H233" s="4">
        <v>2025</v>
      </c>
      <c r="I233" s="4" t="s">
        <v>28</v>
      </c>
      <c r="J233" s="16" t="s">
        <v>103</v>
      </c>
      <c r="K233" s="16" t="s">
        <v>104</v>
      </c>
      <c r="L233" s="4" t="s">
        <v>97</v>
      </c>
      <c r="M233" s="4" t="s">
        <v>759</v>
      </c>
      <c r="N233" s="4" t="str">
        <f>VLOOKUP(Tabla2[[#This Row],[No. ECO]],Hoja1!A:D,2,FALSE)</f>
        <v>GM-</v>
      </c>
      <c r="O233" s="4" t="s">
        <v>41</v>
      </c>
      <c r="P233" s="44">
        <v>45610</v>
      </c>
      <c r="Q233" s="4" t="s">
        <v>42</v>
      </c>
    </row>
    <row r="234" spans="1:17" x14ac:dyDescent="0.3">
      <c r="A234" s="4" t="str">
        <f>Tabla2[[#This Row],[TIPO2]]&amp;" "&amp;Tabla2[[#This Row],[ESTRUCTURA]]</f>
        <v>QUINTA BAJA COTTRELL</v>
      </c>
      <c r="B234" s="15" t="s">
        <v>760</v>
      </c>
      <c r="C234" s="4" t="s">
        <v>761</v>
      </c>
      <c r="D234" s="4" t="s">
        <v>93</v>
      </c>
      <c r="E234" s="4" t="s">
        <v>90</v>
      </c>
      <c r="F234" s="4" t="s">
        <v>94</v>
      </c>
      <c r="G234" s="4" t="s">
        <v>102</v>
      </c>
      <c r="H234" s="4">
        <v>2025</v>
      </c>
      <c r="I234" s="4" t="s">
        <v>28</v>
      </c>
      <c r="J234" s="16" t="s">
        <v>103</v>
      </c>
      <c r="K234" s="16" t="s">
        <v>104</v>
      </c>
      <c r="L234" s="4" t="s">
        <v>97</v>
      </c>
      <c r="M234" s="4" t="s">
        <v>762</v>
      </c>
      <c r="N234" s="4" t="str">
        <f>VLOOKUP(Tabla2[[#This Row],[No. ECO]],Hoja1!A:D,2,FALSE)</f>
        <v>GM-</v>
      </c>
      <c r="O234" s="4" t="s">
        <v>33</v>
      </c>
      <c r="P234" s="44"/>
      <c r="Q234" s="4"/>
    </row>
    <row r="235" spans="1:17" x14ac:dyDescent="0.3">
      <c r="A235" s="4" t="str">
        <f>Tabla2[[#This Row],[TIPO2]]&amp;" "&amp;Tabla2[[#This Row],[ESTRUCTURA]]</f>
        <v>SEMI FULL DOLLY COTTRELL</v>
      </c>
      <c r="B235" s="15" t="s">
        <v>763</v>
      </c>
      <c r="C235" s="4" t="s">
        <v>764</v>
      </c>
      <c r="D235" s="4" t="s">
        <v>93</v>
      </c>
      <c r="E235" s="4" t="s">
        <v>90</v>
      </c>
      <c r="F235" s="4" t="s">
        <v>94</v>
      </c>
      <c r="G235" s="4" t="s">
        <v>102</v>
      </c>
      <c r="H235" s="4">
        <v>2025</v>
      </c>
      <c r="I235" s="4" t="s">
        <v>28</v>
      </c>
      <c r="J235" s="16" t="s">
        <v>131</v>
      </c>
      <c r="K235" s="16" t="s">
        <v>132</v>
      </c>
      <c r="L235" s="4" t="s">
        <v>97</v>
      </c>
      <c r="M235" s="4" t="s">
        <v>765</v>
      </c>
      <c r="N235" s="4" t="str">
        <f>VLOOKUP(Tabla2[[#This Row],[No. ECO]],Hoja1!A:D,2,FALSE)</f>
        <v>TY-APASEO-</v>
      </c>
      <c r="O235" s="4" t="s">
        <v>41</v>
      </c>
      <c r="P235" s="44">
        <v>45610</v>
      </c>
      <c r="Q235" s="4" t="s">
        <v>42</v>
      </c>
    </row>
    <row r="236" spans="1:17" x14ac:dyDescent="0.3">
      <c r="A236" s="4" t="str">
        <f>Tabla2[[#This Row],[TIPO2]]&amp;" "&amp;Tabla2[[#This Row],[ESTRUCTURA]]</f>
        <v>QUINTA BAJA COTTRELL</v>
      </c>
      <c r="B236" s="15" t="s">
        <v>766</v>
      </c>
      <c r="C236" s="4" t="s">
        <v>767</v>
      </c>
      <c r="D236" s="4" t="s">
        <v>93</v>
      </c>
      <c r="E236" s="4" t="s">
        <v>90</v>
      </c>
      <c r="F236" s="4" t="s">
        <v>94</v>
      </c>
      <c r="G236" s="4" t="s">
        <v>102</v>
      </c>
      <c r="H236" s="4">
        <v>2025</v>
      </c>
      <c r="I236" s="4" t="s">
        <v>28</v>
      </c>
      <c r="J236" s="16" t="s">
        <v>103</v>
      </c>
      <c r="K236" s="16" t="s">
        <v>104</v>
      </c>
      <c r="L236" s="4" t="s">
        <v>97</v>
      </c>
      <c r="M236" s="4" t="s">
        <v>768</v>
      </c>
      <c r="N236" s="4" t="str">
        <f>VLOOKUP(Tabla2[[#This Row],[No. ECO]],Hoja1!A:D,2,FALSE)</f>
        <v>GM-</v>
      </c>
      <c r="O236" s="4" t="s">
        <v>33</v>
      </c>
      <c r="P236" s="44"/>
      <c r="Q236" s="4"/>
    </row>
    <row r="237" spans="1:17" x14ac:dyDescent="0.3">
      <c r="A237" s="4" t="str">
        <f>Tabla2[[#This Row],[TIPO2]]&amp;" "&amp;Tabla2[[#This Row],[ESTRUCTURA]]</f>
        <v>QUINTA BAJA COTTRELL</v>
      </c>
      <c r="B237" s="15" t="s">
        <v>769</v>
      </c>
      <c r="C237" s="4" t="s">
        <v>770</v>
      </c>
      <c r="D237" s="4" t="s">
        <v>93</v>
      </c>
      <c r="E237" s="4" t="s">
        <v>90</v>
      </c>
      <c r="F237" s="4" t="s">
        <v>94</v>
      </c>
      <c r="G237" s="4" t="s">
        <v>102</v>
      </c>
      <c r="H237" s="4">
        <v>2024</v>
      </c>
      <c r="I237" s="4" t="s">
        <v>28</v>
      </c>
      <c r="J237" s="16" t="s">
        <v>103</v>
      </c>
      <c r="K237" s="16" t="s">
        <v>104</v>
      </c>
      <c r="L237" s="4" t="s">
        <v>97</v>
      </c>
      <c r="M237" s="4" t="s">
        <v>771</v>
      </c>
      <c r="N237" s="4" t="str">
        <f>VLOOKUP(Tabla2[[#This Row],[No. ECO]],Hoja1!A:D,2,FALSE)</f>
        <v>GM-</v>
      </c>
      <c r="O237" s="4" t="s">
        <v>33</v>
      </c>
      <c r="P237" s="44"/>
      <c r="Q237" s="4"/>
    </row>
    <row r="238" spans="1:17" x14ac:dyDescent="0.3">
      <c r="A238" s="4" t="str">
        <f>Tabla2[[#This Row],[TIPO2]]&amp;" "&amp;Tabla2[[#This Row],[ESTRUCTURA]]</f>
        <v>QUINTA BAJA COTTRELL</v>
      </c>
      <c r="B238" s="15" t="s">
        <v>772</v>
      </c>
      <c r="C238" s="4" t="s">
        <v>773</v>
      </c>
      <c r="D238" s="4" t="s">
        <v>93</v>
      </c>
      <c r="E238" s="4" t="s">
        <v>90</v>
      </c>
      <c r="F238" s="4" t="s">
        <v>94</v>
      </c>
      <c r="G238" s="4" t="s">
        <v>102</v>
      </c>
      <c r="H238" s="4">
        <v>2024</v>
      </c>
      <c r="I238" s="4" t="s">
        <v>28</v>
      </c>
      <c r="J238" s="16" t="s">
        <v>103</v>
      </c>
      <c r="K238" s="16" t="s">
        <v>104</v>
      </c>
      <c r="L238" s="4" t="s">
        <v>97</v>
      </c>
      <c r="M238" s="4" t="s">
        <v>774</v>
      </c>
      <c r="N238" s="4" t="str">
        <f>VLOOKUP(Tabla2[[#This Row],[No. ECO]],Hoja1!A:D,2,FALSE)</f>
        <v>GM-</v>
      </c>
      <c r="O238" s="4" t="s">
        <v>41</v>
      </c>
      <c r="P238" s="44">
        <v>45610</v>
      </c>
      <c r="Q238" s="4" t="s">
        <v>42</v>
      </c>
    </row>
    <row r="239" spans="1:17" x14ac:dyDescent="0.3">
      <c r="A239" s="4" t="str">
        <f>Tabla2[[#This Row],[TIPO2]]&amp;" "&amp;Tabla2[[#This Row],[ESTRUCTURA]]</f>
        <v>FULL COTTRELL</v>
      </c>
      <c r="B239" s="15" t="s">
        <v>775</v>
      </c>
      <c r="C239" s="4" t="s">
        <v>776</v>
      </c>
      <c r="D239" s="4" t="s">
        <v>93</v>
      </c>
      <c r="E239" s="4" t="s">
        <v>90</v>
      </c>
      <c r="F239" s="4" t="s">
        <v>94</v>
      </c>
      <c r="G239" s="4" t="s">
        <v>102</v>
      </c>
      <c r="H239" s="4">
        <v>2025</v>
      </c>
      <c r="I239" s="4" t="s">
        <v>28</v>
      </c>
      <c r="J239" s="16" t="s">
        <v>96</v>
      </c>
      <c r="K239" s="16" t="s">
        <v>96</v>
      </c>
      <c r="L239" s="4" t="s">
        <v>97</v>
      </c>
      <c r="M239" s="4" t="s">
        <v>777</v>
      </c>
      <c r="N239" s="4" t="str">
        <f>VLOOKUP(Tabla2[[#This Row],[No. ECO]],Hoja1!A:D,2,FALSE)</f>
        <v>TY-D-</v>
      </c>
      <c r="O239" s="4" t="s">
        <v>33</v>
      </c>
      <c r="P239" s="44"/>
      <c r="Q239" s="4"/>
    </row>
    <row r="240" spans="1:17" x14ac:dyDescent="0.3">
      <c r="A240" s="4" t="str">
        <f>Tabla2[[#This Row],[TIPO2]]&amp;" "&amp;Tabla2[[#This Row],[ESTRUCTURA]]</f>
        <v>FULL COTTRELL</v>
      </c>
      <c r="B240" s="15" t="s">
        <v>778</v>
      </c>
      <c r="C240" s="4" t="s">
        <v>779</v>
      </c>
      <c r="D240" s="4" t="s">
        <v>93</v>
      </c>
      <c r="E240" s="4" t="s">
        <v>90</v>
      </c>
      <c r="F240" s="4" t="s">
        <v>94</v>
      </c>
      <c r="G240" s="4" t="s">
        <v>102</v>
      </c>
      <c r="H240" s="4">
        <v>2024</v>
      </c>
      <c r="I240" s="4" t="s">
        <v>28</v>
      </c>
      <c r="J240" s="16" t="s">
        <v>96</v>
      </c>
      <c r="K240" s="16" t="s">
        <v>96</v>
      </c>
      <c r="L240" s="4" t="s">
        <v>97</v>
      </c>
      <c r="M240" s="4" t="s">
        <v>780</v>
      </c>
      <c r="N240" s="4" t="str">
        <f>VLOOKUP(Tabla2[[#This Row],[No. ECO]],Hoja1!A:D,2,FALSE)</f>
        <v>TY-T-</v>
      </c>
      <c r="O240" s="4" t="s">
        <v>41</v>
      </c>
      <c r="P240" s="44">
        <v>45609</v>
      </c>
      <c r="Q240" s="4" t="s">
        <v>42</v>
      </c>
    </row>
    <row r="241" spans="1:17" x14ac:dyDescent="0.3">
      <c r="A241" s="4" t="str">
        <f>Tabla2[[#This Row],[TIPO2]]&amp;" "&amp;Tabla2[[#This Row],[ESTRUCTURA]]</f>
        <v>QUINTA BAJA COTTRELL</v>
      </c>
      <c r="B241" s="15" t="s">
        <v>781</v>
      </c>
      <c r="C241" s="4" t="s">
        <v>782</v>
      </c>
      <c r="D241" s="4" t="s">
        <v>93</v>
      </c>
      <c r="E241" s="4" t="s">
        <v>90</v>
      </c>
      <c r="F241" s="4" t="s">
        <v>94</v>
      </c>
      <c r="G241" s="4" t="s">
        <v>102</v>
      </c>
      <c r="H241" s="4">
        <v>2025</v>
      </c>
      <c r="I241" s="4" t="s">
        <v>28</v>
      </c>
      <c r="J241" s="16" t="s">
        <v>103</v>
      </c>
      <c r="K241" s="16" t="s">
        <v>104</v>
      </c>
      <c r="L241" s="4" t="s">
        <v>97</v>
      </c>
      <c r="M241" s="4" t="s">
        <v>783</v>
      </c>
      <c r="N241" s="4" t="str">
        <f>VLOOKUP(Tabla2[[#This Row],[No. ECO]],Hoja1!A:D,2,FALSE)</f>
        <v>BMW-</v>
      </c>
      <c r="O241" s="4" t="s">
        <v>33</v>
      </c>
      <c r="P241" s="44"/>
      <c r="Q241" s="4"/>
    </row>
    <row r="242" spans="1:17" x14ac:dyDescent="0.3">
      <c r="A242" s="4" t="str">
        <f>Tabla2[[#This Row],[TIPO2]]&amp;" "&amp;Tabla2[[#This Row],[ESTRUCTURA]]</f>
        <v>FULL COTTRELL</v>
      </c>
      <c r="B242" s="22" t="s">
        <v>784</v>
      </c>
      <c r="C242" s="23" t="s">
        <v>785</v>
      </c>
      <c r="D242" s="23" t="s">
        <v>93</v>
      </c>
      <c r="E242" s="23" t="s">
        <v>90</v>
      </c>
      <c r="F242" s="23" t="s">
        <v>94</v>
      </c>
      <c r="G242" s="23" t="s">
        <v>102</v>
      </c>
      <c r="H242" s="23">
        <v>2024</v>
      </c>
      <c r="I242" s="23" t="s">
        <v>28</v>
      </c>
      <c r="J242" s="24" t="s">
        <v>96</v>
      </c>
      <c r="K242" s="24" t="s">
        <v>96</v>
      </c>
      <c r="L242" s="23" t="s">
        <v>97</v>
      </c>
      <c r="M242" s="23" t="s">
        <v>786</v>
      </c>
      <c r="N242" s="4" t="str">
        <f>VLOOKUP(Tabla2[[#This Row],[No. ECO]],Hoja1!A:D,2,FALSE)</f>
        <v>TY-T-</v>
      </c>
      <c r="O242" s="4" t="s">
        <v>33</v>
      </c>
      <c r="P242" s="44"/>
      <c r="Q242" s="4"/>
    </row>
    <row r="243" spans="1:17" x14ac:dyDescent="0.3">
      <c r="A243" s="4" t="str">
        <f>Tabla2[[#This Row],[TIPO2]]&amp;" "&amp;Tabla2[[#This Row],[ESTRUCTURA]]</f>
        <v>QUINTA BAJA COTTRELL</v>
      </c>
      <c r="B243" s="15" t="s">
        <v>787</v>
      </c>
      <c r="C243" s="4" t="s">
        <v>788</v>
      </c>
      <c r="D243" s="4" t="s">
        <v>93</v>
      </c>
      <c r="E243" s="4" t="s">
        <v>90</v>
      </c>
      <c r="F243" s="4" t="s">
        <v>94</v>
      </c>
      <c r="G243" s="4" t="s">
        <v>102</v>
      </c>
      <c r="H243" s="4">
        <v>2024</v>
      </c>
      <c r="I243" s="4" t="s">
        <v>28</v>
      </c>
      <c r="J243" s="16" t="s">
        <v>103</v>
      </c>
      <c r="K243" s="16" t="s">
        <v>104</v>
      </c>
      <c r="L243" s="4" t="s">
        <v>97</v>
      </c>
      <c r="M243" s="4" t="s">
        <v>789</v>
      </c>
      <c r="N243" s="4" t="str">
        <f>VLOOKUP(Tabla2[[#This Row],[No. ECO]],Hoja1!A:D,2,FALSE)</f>
        <v>GM-</v>
      </c>
      <c r="O243" s="4" t="s">
        <v>41</v>
      </c>
      <c r="P243" s="44">
        <v>45610</v>
      </c>
      <c r="Q243" s="4" t="s">
        <v>42</v>
      </c>
    </row>
    <row r="244" spans="1:17" x14ac:dyDescent="0.3">
      <c r="A244" s="4" t="str">
        <f>Tabla2[[#This Row],[TIPO2]]&amp;" "&amp;Tabla2[[#This Row],[ESTRUCTURA]]</f>
        <v>FULL COTTRELL</v>
      </c>
      <c r="B244" s="15" t="s">
        <v>790</v>
      </c>
      <c r="C244" s="4" t="s">
        <v>791</v>
      </c>
      <c r="D244" s="4" t="s">
        <v>93</v>
      </c>
      <c r="E244" s="4" t="s">
        <v>90</v>
      </c>
      <c r="F244" s="4" t="s">
        <v>94</v>
      </c>
      <c r="G244" s="4" t="s">
        <v>102</v>
      </c>
      <c r="H244" s="4">
        <v>2024</v>
      </c>
      <c r="I244" s="4" t="s">
        <v>28</v>
      </c>
      <c r="J244" s="16" t="s">
        <v>96</v>
      </c>
      <c r="K244" s="16" t="s">
        <v>96</v>
      </c>
      <c r="L244" s="4" t="s">
        <v>97</v>
      </c>
      <c r="M244" s="4" t="s">
        <v>792</v>
      </c>
      <c r="N244" s="4" t="str">
        <f>VLOOKUP(Tabla2[[#This Row],[No. ECO]],Hoja1!A:D,2,FALSE)</f>
        <v>TY-T-</v>
      </c>
      <c r="O244" s="4" t="s">
        <v>41</v>
      </c>
      <c r="P244" s="44">
        <v>45574</v>
      </c>
      <c r="Q244" s="4" t="s">
        <v>42</v>
      </c>
    </row>
    <row r="245" spans="1:17" x14ac:dyDescent="0.3">
      <c r="A245" s="4" t="str">
        <f>Tabla2[[#This Row],[TIPO2]]&amp;" "&amp;Tabla2[[#This Row],[ESTRUCTURA]]</f>
        <v>FULL COTTRELL</v>
      </c>
      <c r="B245" s="15" t="s">
        <v>793</v>
      </c>
      <c r="C245" s="4" t="s">
        <v>794</v>
      </c>
      <c r="D245" s="4" t="s">
        <v>93</v>
      </c>
      <c r="E245" s="4" t="s">
        <v>90</v>
      </c>
      <c r="F245" s="4" t="s">
        <v>94</v>
      </c>
      <c r="G245" s="4" t="s">
        <v>102</v>
      </c>
      <c r="H245" s="4">
        <v>2024</v>
      </c>
      <c r="I245" s="4" t="s">
        <v>28</v>
      </c>
      <c r="J245" s="16" t="s">
        <v>96</v>
      </c>
      <c r="K245" s="16" t="s">
        <v>96</v>
      </c>
      <c r="L245" s="4" t="s">
        <v>97</v>
      </c>
      <c r="M245" s="4" t="s">
        <v>795</v>
      </c>
      <c r="N245" s="4" t="str">
        <f>VLOOKUP(Tabla2[[#This Row],[No. ECO]],Hoja1!A:D,2,FALSE)</f>
        <v>TY-APASEO-</v>
      </c>
      <c r="O245" s="4" t="s">
        <v>41</v>
      </c>
      <c r="P245" s="44">
        <v>45611</v>
      </c>
      <c r="Q245" s="4" t="s">
        <v>42</v>
      </c>
    </row>
    <row r="246" spans="1:17" x14ac:dyDescent="0.3">
      <c r="A246" s="4" t="str">
        <f>Tabla2[[#This Row],[TIPO2]]&amp;" "&amp;Tabla2[[#This Row],[ESTRUCTURA]]</f>
        <v>FULL COTTRELL</v>
      </c>
      <c r="B246" s="15" t="s">
        <v>796</v>
      </c>
      <c r="C246" s="4" t="s">
        <v>797</v>
      </c>
      <c r="D246" s="4" t="s">
        <v>93</v>
      </c>
      <c r="E246" s="4" t="s">
        <v>90</v>
      </c>
      <c r="F246" s="4" t="s">
        <v>94</v>
      </c>
      <c r="G246" s="4" t="s">
        <v>102</v>
      </c>
      <c r="H246" s="4">
        <v>2024</v>
      </c>
      <c r="I246" s="4" t="s">
        <v>28</v>
      </c>
      <c r="J246" s="16" t="s">
        <v>96</v>
      </c>
      <c r="K246" s="16" t="s">
        <v>96</v>
      </c>
      <c r="L246" s="4" t="s">
        <v>97</v>
      </c>
      <c r="M246" s="4" t="s">
        <v>798</v>
      </c>
      <c r="N246" s="4" t="str">
        <f>VLOOKUP(Tabla2[[#This Row],[No. ECO]],Hoja1!A:D,2,FALSE)</f>
        <v>TY-T-</v>
      </c>
      <c r="O246" s="4" t="s">
        <v>33</v>
      </c>
      <c r="P246" s="44"/>
      <c r="Q246" s="4"/>
    </row>
    <row r="247" spans="1:17" x14ac:dyDescent="0.3">
      <c r="A247" s="4" t="str">
        <f>Tabla2[[#This Row],[TIPO2]]&amp;" "&amp;Tabla2[[#This Row],[ESTRUCTURA]]</f>
        <v>FULL LOHR</v>
      </c>
      <c r="B247" s="15" t="s">
        <v>799</v>
      </c>
      <c r="C247" s="4" t="s">
        <v>800</v>
      </c>
      <c r="D247" s="4" t="s">
        <v>93</v>
      </c>
      <c r="E247" s="4" t="s">
        <v>90</v>
      </c>
      <c r="F247" s="4" t="s">
        <v>94</v>
      </c>
      <c r="G247" s="4" t="s">
        <v>102</v>
      </c>
      <c r="H247" s="4">
        <v>2024</v>
      </c>
      <c r="I247" s="4" t="s">
        <v>201</v>
      </c>
      <c r="J247" s="16" t="s">
        <v>96</v>
      </c>
      <c r="K247" s="16" t="s">
        <v>202</v>
      </c>
      <c r="L247" s="4" t="s">
        <v>97</v>
      </c>
      <c r="M247" s="4" t="s">
        <v>801</v>
      </c>
      <c r="N247" s="4" t="str">
        <f>VLOOKUP(Tabla2[[#This Row],[No. ECO]],Hoja1!A:D,2,FALSE)</f>
        <v>MZ-</v>
      </c>
      <c r="O247" s="4" t="s">
        <v>33</v>
      </c>
      <c r="P247" s="44"/>
      <c r="Q247" s="4"/>
    </row>
    <row r="248" spans="1:17" x14ac:dyDescent="0.3">
      <c r="A248" s="4" t="str">
        <f>Tabla2[[#This Row],[TIPO2]]&amp;" "&amp;Tabla2[[#This Row],[ESTRUCTURA]]</f>
        <v>FULL COTTRELL</v>
      </c>
      <c r="B248" s="15" t="s">
        <v>802</v>
      </c>
      <c r="C248" s="4" t="s">
        <v>803</v>
      </c>
      <c r="D248" s="4" t="s">
        <v>93</v>
      </c>
      <c r="E248" s="4" t="s">
        <v>90</v>
      </c>
      <c r="F248" s="4" t="s">
        <v>94</v>
      </c>
      <c r="G248" s="4" t="s">
        <v>102</v>
      </c>
      <c r="H248" s="4">
        <v>2024</v>
      </c>
      <c r="I248" s="4" t="s">
        <v>28</v>
      </c>
      <c r="J248" s="16" t="s">
        <v>96</v>
      </c>
      <c r="K248" s="16" t="s">
        <v>96</v>
      </c>
      <c r="L248" s="4" t="s">
        <v>97</v>
      </c>
      <c r="M248" s="4" t="s">
        <v>804</v>
      </c>
      <c r="N248" s="4" t="str">
        <f>VLOOKUP(Tabla2[[#This Row],[No. ECO]],Hoja1!A:D,2,FALSE)</f>
        <v>TY-D-</v>
      </c>
      <c r="O248" s="4" t="s">
        <v>41</v>
      </c>
      <c r="P248" s="44">
        <v>45567</v>
      </c>
      <c r="Q248" s="4" t="s">
        <v>47</v>
      </c>
    </row>
    <row r="249" spans="1:17" x14ac:dyDescent="0.3">
      <c r="A249" s="4" t="str">
        <f>Tabla2[[#This Row],[TIPO2]]&amp;" "&amp;Tabla2[[#This Row],[ESTRUCTURA]]</f>
        <v>FULL COTTRELL</v>
      </c>
      <c r="B249" s="15" t="s">
        <v>805</v>
      </c>
      <c r="C249" s="4" t="s">
        <v>806</v>
      </c>
      <c r="D249" s="4" t="s">
        <v>93</v>
      </c>
      <c r="E249" s="4" t="s">
        <v>90</v>
      </c>
      <c r="F249" s="4" t="s">
        <v>94</v>
      </c>
      <c r="G249" s="4" t="s">
        <v>102</v>
      </c>
      <c r="H249" s="4">
        <v>2024</v>
      </c>
      <c r="I249" s="4" t="s">
        <v>28</v>
      </c>
      <c r="J249" s="16" t="s">
        <v>96</v>
      </c>
      <c r="K249" s="16" t="s">
        <v>96</v>
      </c>
      <c r="L249" s="4" t="s">
        <v>97</v>
      </c>
      <c r="M249" s="4" t="s">
        <v>807</v>
      </c>
      <c r="N249" s="4" t="str">
        <f>VLOOKUP(Tabla2[[#This Row],[No. ECO]],Hoja1!A:D,2,FALSE)</f>
        <v>TY-T-</v>
      </c>
      <c r="O249" s="4" t="s">
        <v>33</v>
      </c>
      <c r="P249" s="44"/>
      <c r="Q249" s="4"/>
    </row>
    <row r="250" spans="1:17" x14ac:dyDescent="0.3">
      <c r="A250" s="4" t="str">
        <f>Tabla2[[#This Row],[TIPO2]]&amp;" "&amp;Tabla2[[#This Row],[ESTRUCTURA]]</f>
        <v>FULL COTTRELL</v>
      </c>
      <c r="B250" s="15" t="s">
        <v>808</v>
      </c>
      <c r="C250" s="4" t="s">
        <v>809</v>
      </c>
      <c r="D250" s="4" t="s">
        <v>93</v>
      </c>
      <c r="E250" s="4" t="s">
        <v>90</v>
      </c>
      <c r="F250" s="4" t="s">
        <v>94</v>
      </c>
      <c r="G250" s="4" t="s">
        <v>102</v>
      </c>
      <c r="H250" s="4">
        <v>2024</v>
      </c>
      <c r="I250" s="4" t="s">
        <v>28</v>
      </c>
      <c r="J250" s="16" t="s">
        <v>96</v>
      </c>
      <c r="K250" s="16" t="s">
        <v>96</v>
      </c>
      <c r="L250" s="4" t="s">
        <v>97</v>
      </c>
      <c r="M250" s="4" t="s">
        <v>810</v>
      </c>
      <c r="N250" s="4" t="str">
        <f>VLOOKUP(Tabla2[[#This Row],[No. ECO]],Hoja1!A:D,2,FALSE)</f>
        <v>TY-D-</v>
      </c>
      <c r="O250" s="4" t="s">
        <v>41</v>
      </c>
      <c r="P250" s="44">
        <v>45567</v>
      </c>
      <c r="Q250" s="4" t="s">
        <v>47</v>
      </c>
    </row>
    <row r="251" spans="1:17" x14ac:dyDescent="0.3">
      <c r="A251" s="4" t="str">
        <f>Tabla2[[#This Row],[TIPO2]]&amp;" "&amp;Tabla2[[#This Row],[ESTRUCTURA]]</f>
        <v>FULL COTTRELL</v>
      </c>
      <c r="B251" s="15" t="s">
        <v>811</v>
      </c>
      <c r="C251" s="4" t="s">
        <v>812</v>
      </c>
      <c r="D251" s="4" t="s">
        <v>93</v>
      </c>
      <c r="E251" s="4" t="s">
        <v>90</v>
      </c>
      <c r="F251" s="4" t="s">
        <v>94</v>
      </c>
      <c r="G251" s="4" t="s">
        <v>102</v>
      </c>
      <c r="H251" s="4">
        <v>2024</v>
      </c>
      <c r="I251" s="4" t="s">
        <v>28</v>
      </c>
      <c r="J251" s="16" t="s">
        <v>96</v>
      </c>
      <c r="K251" s="16" t="s">
        <v>96</v>
      </c>
      <c r="L251" s="4" t="s">
        <v>97</v>
      </c>
      <c r="M251" s="4" t="s">
        <v>813</v>
      </c>
      <c r="N251" s="4" t="str">
        <f>VLOOKUP(Tabla2[[#This Row],[No. ECO]],Hoja1!A:D,2,FALSE)</f>
        <v>TY-APASEO-</v>
      </c>
      <c r="O251" s="4" t="s">
        <v>41</v>
      </c>
      <c r="P251" s="44">
        <v>45547</v>
      </c>
      <c r="Q251" s="4" t="s">
        <v>47</v>
      </c>
    </row>
    <row r="252" spans="1:17" x14ac:dyDescent="0.3">
      <c r="A252" s="4" t="str">
        <f>Tabla2[[#This Row],[TIPO2]]&amp;" "&amp;Tabla2[[#This Row],[ESTRUCTURA]]</f>
        <v>FULL COTTRELL</v>
      </c>
      <c r="B252" s="15" t="s">
        <v>814</v>
      </c>
      <c r="C252" s="4" t="s">
        <v>815</v>
      </c>
      <c r="D252" s="4" t="s">
        <v>93</v>
      </c>
      <c r="E252" s="4" t="s">
        <v>90</v>
      </c>
      <c r="F252" s="4" t="s">
        <v>94</v>
      </c>
      <c r="G252" s="4" t="s">
        <v>102</v>
      </c>
      <c r="H252" s="4">
        <v>2024</v>
      </c>
      <c r="I252" s="4" t="s">
        <v>28</v>
      </c>
      <c r="J252" s="16" t="s">
        <v>96</v>
      </c>
      <c r="K252" s="16" t="s">
        <v>96</v>
      </c>
      <c r="L252" s="4" t="s">
        <v>97</v>
      </c>
      <c r="M252" s="4" t="s">
        <v>816</v>
      </c>
      <c r="N252" s="4" t="str">
        <f>VLOOKUP(Tabla2[[#This Row],[No. ECO]],Hoja1!A:D,2,FALSE)</f>
        <v>TY-T-</v>
      </c>
      <c r="O252" s="4" t="s">
        <v>33</v>
      </c>
      <c r="P252" s="44"/>
      <c r="Q252" s="4"/>
    </row>
    <row r="253" spans="1:17" x14ac:dyDescent="0.3">
      <c r="A253" s="4" t="str">
        <f>Tabla2[[#This Row],[TIPO2]]&amp;" "&amp;Tabla2[[#This Row],[ESTRUCTURA]]</f>
        <v>FULL COTTRELL</v>
      </c>
      <c r="B253" s="15" t="s">
        <v>817</v>
      </c>
      <c r="C253" s="4" t="s">
        <v>818</v>
      </c>
      <c r="D253" s="4" t="s">
        <v>93</v>
      </c>
      <c r="E253" s="4" t="s">
        <v>90</v>
      </c>
      <c r="F253" s="4" t="s">
        <v>94</v>
      </c>
      <c r="G253" s="4" t="s">
        <v>102</v>
      </c>
      <c r="H253" s="4">
        <v>2024</v>
      </c>
      <c r="I253" s="4" t="s">
        <v>28</v>
      </c>
      <c r="J253" s="16" t="s">
        <v>96</v>
      </c>
      <c r="K253" s="16" t="s">
        <v>96</v>
      </c>
      <c r="L253" s="4" t="s">
        <v>97</v>
      </c>
      <c r="M253" s="4" t="s">
        <v>819</v>
      </c>
      <c r="N253" s="4" t="str">
        <f>VLOOKUP(Tabla2[[#This Row],[No. ECO]],Hoja1!A:D,2,FALSE)</f>
        <v>TY-D-</v>
      </c>
      <c r="O253" s="4" t="s">
        <v>41</v>
      </c>
      <c r="P253" s="44">
        <v>45572</v>
      </c>
      <c r="Q253" s="4" t="s">
        <v>42</v>
      </c>
    </row>
    <row r="254" spans="1:17" x14ac:dyDescent="0.3">
      <c r="A254" s="4" t="str">
        <f>Tabla2[[#This Row],[TIPO2]]&amp;" "&amp;Tabla2[[#This Row],[ESTRUCTURA]]</f>
        <v>FULL COTTRELL</v>
      </c>
      <c r="B254" s="15" t="s">
        <v>820</v>
      </c>
      <c r="C254" s="4" t="s">
        <v>821</v>
      </c>
      <c r="D254" s="4" t="s">
        <v>93</v>
      </c>
      <c r="E254" s="4" t="s">
        <v>90</v>
      </c>
      <c r="F254" s="4" t="s">
        <v>94</v>
      </c>
      <c r="G254" s="4" t="s">
        <v>102</v>
      </c>
      <c r="H254" s="4">
        <v>2024</v>
      </c>
      <c r="I254" s="4" t="s">
        <v>28</v>
      </c>
      <c r="J254" s="16" t="s">
        <v>96</v>
      </c>
      <c r="K254" s="16" t="s">
        <v>96</v>
      </c>
      <c r="L254" s="4" t="s">
        <v>97</v>
      </c>
      <c r="M254" s="4" t="s">
        <v>822</v>
      </c>
      <c r="N254" s="4" t="str">
        <f>VLOOKUP(Tabla2[[#This Row],[No. ECO]],Hoja1!A:D,2,FALSE)</f>
        <v>TY-T-</v>
      </c>
      <c r="O254" s="4" t="s">
        <v>33</v>
      </c>
      <c r="P254" s="44"/>
      <c r="Q254" s="4"/>
    </row>
    <row r="255" spans="1:17" x14ac:dyDescent="0.3">
      <c r="A255" s="4" t="str">
        <f>Tabla2[[#This Row],[TIPO2]]&amp;" "&amp;Tabla2[[#This Row],[ESTRUCTURA]]</f>
        <v>FULL LOHR</v>
      </c>
      <c r="B255" s="15" t="s">
        <v>823</v>
      </c>
      <c r="C255" s="4" t="s">
        <v>806</v>
      </c>
      <c r="D255" s="4" t="s">
        <v>93</v>
      </c>
      <c r="E255" s="4" t="s">
        <v>90</v>
      </c>
      <c r="F255" s="4" t="s">
        <v>94</v>
      </c>
      <c r="G255" s="4" t="s">
        <v>102</v>
      </c>
      <c r="H255" s="4">
        <v>2024</v>
      </c>
      <c r="I255" s="4" t="s">
        <v>201</v>
      </c>
      <c r="J255" s="16" t="s">
        <v>96</v>
      </c>
      <c r="K255" s="16" t="s">
        <v>202</v>
      </c>
      <c r="L255" s="4" t="s">
        <v>97</v>
      </c>
      <c r="M255" s="4" t="s">
        <v>824</v>
      </c>
      <c r="N255" s="4" t="str">
        <f>VLOOKUP(Tabla2[[#This Row],[No. ECO]],Hoja1!A:D,2,FALSE)</f>
        <v>AU-</v>
      </c>
      <c r="O255" s="4" t="s">
        <v>33</v>
      </c>
      <c r="P255" s="44"/>
      <c r="Q255" s="4"/>
    </row>
    <row r="256" spans="1:17" x14ac:dyDescent="0.3">
      <c r="A256" s="4" t="str">
        <f>Tabla2[[#This Row],[TIPO2]]&amp;" "&amp;Tabla2[[#This Row],[ESTRUCTURA]]</f>
        <v>FULL COTTRELL</v>
      </c>
      <c r="B256" s="15" t="s">
        <v>825</v>
      </c>
      <c r="C256" s="4" t="s">
        <v>826</v>
      </c>
      <c r="D256" s="4" t="s">
        <v>93</v>
      </c>
      <c r="E256" s="4" t="s">
        <v>90</v>
      </c>
      <c r="F256" s="4" t="s">
        <v>94</v>
      </c>
      <c r="G256" s="4" t="s">
        <v>102</v>
      </c>
      <c r="H256" s="4">
        <v>2024</v>
      </c>
      <c r="I256" s="4" t="s">
        <v>28</v>
      </c>
      <c r="J256" s="16" t="s">
        <v>96</v>
      </c>
      <c r="K256" s="16" t="s">
        <v>96</v>
      </c>
      <c r="L256" s="4" t="s">
        <v>97</v>
      </c>
      <c r="M256" s="4" t="s">
        <v>827</v>
      </c>
      <c r="N256" s="4" t="str">
        <f>VLOOKUP(Tabla2[[#This Row],[No. ECO]],Hoja1!A:D,2,FALSE)</f>
        <v>TY-D-</v>
      </c>
      <c r="O256" s="4" t="s">
        <v>41</v>
      </c>
      <c r="P256" s="44">
        <v>45560</v>
      </c>
      <c r="Q256" s="4" t="s">
        <v>47</v>
      </c>
    </row>
    <row r="257" spans="1:17" x14ac:dyDescent="0.3">
      <c r="A257" s="4" t="str">
        <f>Tabla2[[#This Row],[TIPO2]]&amp;" "&amp;Tabla2[[#This Row],[ESTRUCTURA]]</f>
        <v>FULL COTTRELL</v>
      </c>
      <c r="B257" s="15" t="s">
        <v>828</v>
      </c>
      <c r="C257" s="4" t="s">
        <v>829</v>
      </c>
      <c r="D257" s="4" t="s">
        <v>93</v>
      </c>
      <c r="E257" s="4" t="s">
        <v>90</v>
      </c>
      <c r="F257" s="4" t="s">
        <v>94</v>
      </c>
      <c r="G257" s="4" t="s">
        <v>102</v>
      </c>
      <c r="H257" s="4">
        <v>2024</v>
      </c>
      <c r="I257" s="4" t="s">
        <v>28</v>
      </c>
      <c r="J257" s="16" t="s">
        <v>96</v>
      </c>
      <c r="K257" s="16" t="s">
        <v>96</v>
      </c>
      <c r="L257" s="4" t="s">
        <v>97</v>
      </c>
      <c r="M257" s="4" t="s">
        <v>830</v>
      </c>
      <c r="N257" s="4" t="str">
        <f>VLOOKUP(Tabla2[[#This Row],[No. ECO]],Hoja1!A:D,2,FALSE)</f>
        <v>TY-D-</v>
      </c>
      <c r="O257" s="4" t="s">
        <v>41</v>
      </c>
      <c r="P257" s="44">
        <v>45610</v>
      </c>
      <c r="Q257" s="4" t="s">
        <v>42</v>
      </c>
    </row>
    <row r="258" spans="1:17" x14ac:dyDescent="0.3">
      <c r="A258" s="4" t="str">
        <f>Tabla2[[#This Row],[TIPO2]]&amp;" "&amp;Tabla2[[#This Row],[ESTRUCTURA]]</f>
        <v>FULL COTTRELL</v>
      </c>
      <c r="B258" s="15" t="s">
        <v>831</v>
      </c>
      <c r="C258" s="4" t="s">
        <v>826</v>
      </c>
      <c r="D258" s="4" t="s">
        <v>93</v>
      </c>
      <c r="E258" s="4" t="s">
        <v>90</v>
      </c>
      <c r="F258" s="4" t="s">
        <v>94</v>
      </c>
      <c r="G258" s="4" t="s">
        <v>102</v>
      </c>
      <c r="H258" s="4">
        <v>2024</v>
      </c>
      <c r="I258" s="4" t="s">
        <v>28</v>
      </c>
      <c r="J258" s="16" t="s">
        <v>96</v>
      </c>
      <c r="K258" s="16" t="s">
        <v>96</v>
      </c>
      <c r="L258" s="4" t="s">
        <v>97</v>
      </c>
      <c r="M258" s="4" t="s">
        <v>832</v>
      </c>
      <c r="N258" s="4" t="str">
        <f>VLOOKUP(Tabla2[[#This Row],[No. ECO]],Hoja1!A:D,2,FALSE)</f>
        <v>TY-T-</v>
      </c>
      <c r="O258" s="4" t="s">
        <v>41</v>
      </c>
      <c r="P258" s="44">
        <v>45547</v>
      </c>
      <c r="Q258" s="4" t="s">
        <v>47</v>
      </c>
    </row>
    <row r="259" spans="1:17" x14ac:dyDescent="0.3">
      <c r="A259" s="4" t="str">
        <f>Tabla2[[#This Row],[TIPO2]]&amp;" "&amp;Tabla2[[#This Row],[ESTRUCTURA]]</f>
        <v>QUINTA BAJA WS COTTRELL</v>
      </c>
      <c r="B259" s="15" t="s">
        <v>833</v>
      </c>
      <c r="C259" s="4" t="s">
        <v>834</v>
      </c>
      <c r="D259" s="4" t="s">
        <v>25</v>
      </c>
      <c r="E259" s="4" t="s">
        <v>38</v>
      </c>
      <c r="F259" s="4" t="s">
        <v>39</v>
      </c>
      <c r="G259" s="4">
        <v>4900</v>
      </c>
      <c r="H259" s="4">
        <v>2023</v>
      </c>
      <c r="I259" s="4" t="s">
        <v>28</v>
      </c>
      <c r="J259" s="16" t="s">
        <v>29</v>
      </c>
      <c r="K259" s="16" t="s">
        <v>30</v>
      </c>
      <c r="L259" s="4" t="s">
        <v>31</v>
      </c>
      <c r="M259" s="4" t="s">
        <v>835</v>
      </c>
      <c r="N259" s="4" t="str">
        <f>VLOOKUP(Tabla2[[#This Row],[No. ECO]],Hoja1!A:D,2,FALSE)</f>
        <v>BMW-</v>
      </c>
      <c r="O259" s="4" t="s">
        <v>41</v>
      </c>
      <c r="P259" s="44">
        <v>45505</v>
      </c>
      <c r="Q259" s="4" t="s">
        <v>42</v>
      </c>
    </row>
    <row r="260" spans="1:17" x14ac:dyDescent="0.3">
      <c r="A260" s="4" t="str">
        <f>Tabla2[[#This Row],[TIPO2]]&amp;" "&amp;Tabla2[[#This Row],[ESTRUCTURA]]</f>
        <v>QUINTA BAJA WS COTTRELL</v>
      </c>
      <c r="B260" s="15" t="s">
        <v>836</v>
      </c>
      <c r="C260" s="4" t="s">
        <v>837</v>
      </c>
      <c r="D260" s="4" t="s">
        <v>25</v>
      </c>
      <c r="E260" s="4" t="s">
        <v>38</v>
      </c>
      <c r="F260" s="4" t="s">
        <v>39</v>
      </c>
      <c r="G260" s="4">
        <v>4900</v>
      </c>
      <c r="H260" s="4">
        <v>2023</v>
      </c>
      <c r="I260" s="4" t="s">
        <v>28</v>
      </c>
      <c r="J260" s="16" t="s">
        <v>29</v>
      </c>
      <c r="K260" s="16" t="s">
        <v>30</v>
      </c>
      <c r="L260" s="4" t="s">
        <v>31</v>
      </c>
      <c r="M260" s="4" t="s">
        <v>838</v>
      </c>
      <c r="N260" s="4" t="str">
        <f>VLOOKUP(Tabla2[[#This Row],[No. ECO]],Hoja1!A:D,2,FALSE)</f>
        <v>BMW-</v>
      </c>
      <c r="O260" s="4" t="s">
        <v>33</v>
      </c>
      <c r="P260" s="44"/>
      <c r="Q260" s="4"/>
    </row>
    <row r="261" spans="1:17" x14ac:dyDescent="0.3">
      <c r="A261" s="4" t="str">
        <f>Tabla2[[#This Row],[TIPO2]]&amp;" "&amp;Tabla2[[#This Row],[ESTRUCTURA]]</f>
        <v>QUINTA BAJA WS COTTRELL</v>
      </c>
      <c r="B261" s="15" t="s">
        <v>839</v>
      </c>
      <c r="C261" s="4" t="s">
        <v>840</v>
      </c>
      <c r="D261" s="4" t="s">
        <v>25</v>
      </c>
      <c r="E261" s="4" t="s">
        <v>38</v>
      </c>
      <c r="F261" s="4" t="s">
        <v>39</v>
      </c>
      <c r="G261" s="4">
        <v>4900</v>
      </c>
      <c r="H261" s="4">
        <v>2023</v>
      </c>
      <c r="I261" s="4" t="s">
        <v>28</v>
      </c>
      <c r="J261" s="16" t="s">
        <v>29</v>
      </c>
      <c r="K261" s="16" t="s">
        <v>30</v>
      </c>
      <c r="L261" s="4" t="s">
        <v>31</v>
      </c>
      <c r="M261" s="4" t="s">
        <v>841</v>
      </c>
      <c r="N261" s="4" t="str">
        <f>VLOOKUP(Tabla2[[#This Row],[No. ECO]],Hoja1!A:D,2,FALSE)</f>
        <v>MG-</v>
      </c>
      <c r="O261" s="4" t="s">
        <v>33</v>
      </c>
      <c r="P261" s="44"/>
      <c r="Q261" s="4"/>
    </row>
    <row r="262" spans="1:17" x14ac:dyDescent="0.3">
      <c r="A262" s="4" t="str">
        <f>Tabla2[[#This Row],[TIPO2]]&amp;" "&amp;Tabla2[[#This Row],[ESTRUCTURA]]</f>
        <v>QUINTA BAJA WS COTTRELL</v>
      </c>
      <c r="B262" s="15" t="s">
        <v>842</v>
      </c>
      <c r="C262" s="4" t="s">
        <v>843</v>
      </c>
      <c r="D262" s="4" t="s">
        <v>25</v>
      </c>
      <c r="E262" s="4" t="s">
        <v>38</v>
      </c>
      <c r="F262" s="4" t="s">
        <v>39</v>
      </c>
      <c r="G262" s="4">
        <v>4900</v>
      </c>
      <c r="H262" s="4">
        <v>2023</v>
      </c>
      <c r="I262" s="4" t="s">
        <v>28</v>
      </c>
      <c r="J262" s="16" t="s">
        <v>29</v>
      </c>
      <c r="K262" s="16" t="s">
        <v>30</v>
      </c>
      <c r="L262" s="4" t="s">
        <v>31</v>
      </c>
      <c r="M262" s="4" t="s">
        <v>844</v>
      </c>
      <c r="N262" s="4" t="str">
        <f>VLOOKUP(Tabla2[[#This Row],[No. ECO]],Hoja1!A:D,2,FALSE)</f>
        <v>BMW-</v>
      </c>
      <c r="O262" s="4" t="s">
        <v>41</v>
      </c>
      <c r="P262" s="44">
        <v>45596</v>
      </c>
      <c r="Q262" s="4" t="s">
        <v>42</v>
      </c>
    </row>
    <row r="263" spans="1:17" x14ac:dyDescent="0.3">
      <c r="A263" s="4" t="str">
        <f>Tabla2[[#This Row],[TIPO2]]&amp;" "&amp;Tabla2[[#This Row],[ESTRUCTURA]]</f>
        <v>QUINTA BAJA WS COTTRELL</v>
      </c>
      <c r="B263" s="15" t="s">
        <v>845</v>
      </c>
      <c r="C263" s="4" t="s">
        <v>846</v>
      </c>
      <c r="D263" s="4" t="s">
        <v>25</v>
      </c>
      <c r="E263" s="4" t="s">
        <v>38</v>
      </c>
      <c r="F263" s="4" t="s">
        <v>39</v>
      </c>
      <c r="G263" s="4">
        <v>4900</v>
      </c>
      <c r="H263" s="4">
        <v>2023</v>
      </c>
      <c r="I263" s="4" t="s">
        <v>28</v>
      </c>
      <c r="J263" s="16" t="s">
        <v>29</v>
      </c>
      <c r="K263" s="16" t="s">
        <v>30</v>
      </c>
      <c r="L263" s="4" t="s">
        <v>31</v>
      </c>
      <c r="M263" s="4" t="s">
        <v>847</v>
      </c>
      <c r="N263" s="4" t="str">
        <f>VLOOKUP(Tabla2[[#This Row],[No. ECO]],Hoja1!A:D,2,FALSE)</f>
        <v>BMW-</v>
      </c>
      <c r="O263" s="4" t="s">
        <v>33</v>
      </c>
      <c r="P263" s="44"/>
      <c r="Q263" s="4"/>
    </row>
    <row r="264" spans="1:17" x14ac:dyDescent="0.3">
      <c r="A264" s="4" t="str">
        <f>Tabla2[[#This Row],[TIPO2]]&amp;" "&amp;Tabla2[[#This Row],[ESTRUCTURA]]</f>
        <v>QUINTA BAJA WS COTTRELL</v>
      </c>
      <c r="B264" s="15" t="s">
        <v>848</v>
      </c>
      <c r="C264" s="4" t="s">
        <v>849</v>
      </c>
      <c r="D264" s="4" t="s">
        <v>25</v>
      </c>
      <c r="E264" s="4" t="s">
        <v>38</v>
      </c>
      <c r="F264" s="4" t="s">
        <v>39</v>
      </c>
      <c r="G264" s="4">
        <v>4900</v>
      </c>
      <c r="H264" s="4">
        <v>2023</v>
      </c>
      <c r="I264" s="4" t="s">
        <v>28</v>
      </c>
      <c r="J264" s="16" t="s">
        <v>29</v>
      </c>
      <c r="K264" s="16" t="s">
        <v>30</v>
      </c>
      <c r="L264" s="4" t="s">
        <v>31</v>
      </c>
      <c r="M264" s="4" t="s">
        <v>850</v>
      </c>
      <c r="N264" s="4" t="str">
        <f>VLOOKUP(Tabla2[[#This Row],[No. ECO]],Hoja1!A:D,2,FALSE)</f>
        <v>BMW-</v>
      </c>
      <c r="O264" s="4" t="s">
        <v>33</v>
      </c>
      <c r="P264" s="44"/>
      <c r="Q264" s="4"/>
    </row>
    <row r="265" spans="1:17" x14ac:dyDescent="0.3">
      <c r="A265" s="4" t="str">
        <f>Tabla2[[#This Row],[TIPO2]]&amp;" "&amp;Tabla2[[#This Row],[ESTRUCTURA]]</f>
        <v>QUINTA BAJA WS COTTRELL</v>
      </c>
      <c r="B265" s="15" t="s">
        <v>851</v>
      </c>
      <c r="C265" s="4" t="s">
        <v>852</v>
      </c>
      <c r="D265" s="4" t="s">
        <v>25</v>
      </c>
      <c r="E265" s="4" t="s">
        <v>38</v>
      </c>
      <c r="F265" s="4" t="s">
        <v>39</v>
      </c>
      <c r="G265" s="4">
        <v>4900</v>
      </c>
      <c r="H265" s="4">
        <v>2023</v>
      </c>
      <c r="I265" s="4" t="s">
        <v>28</v>
      </c>
      <c r="J265" s="16" t="s">
        <v>29</v>
      </c>
      <c r="K265" s="16" t="s">
        <v>30</v>
      </c>
      <c r="L265" s="4" t="s">
        <v>31</v>
      </c>
      <c r="M265" s="4" t="s">
        <v>853</v>
      </c>
      <c r="N265" s="4" t="str">
        <f>VLOOKUP(Tabla2[[#This Row],[No. ECO]],Hoja1!A:D,2,FALSE)</f>
        <v>MG-</v>
      </c>
      <c r="O265" s="4" t="s">
        <v>41</v>
      </c>
      <c r="P265" s="44">
        <v>45505</v>
      </c>
      <c r="Q265" s="4" t="s">
        <v>42</v>
      </c>
    </row>
    <row r="266" spans="1:17" x14ac:dyDescent="0.3">
      <c r="A266" s="4" t="str">
        <f>Tabla2[[#This Row],[TIPO2]]&amp;" "&amp;Tabla2[[#This Row],[ESTRUCTURA]]</f>
        <v>QUINTA BAJA WS COTTRELL</v>
      </c>
      <c r="B266" s="15" t="s">
        <v>854</v>
      </c>
      <c r="C266" s="4" t="s">
        <v>855</v>
      </c>
      <c r="D266" s="4" t="s">
        <v>25</v>
      </c>
      <c r="E266" s="4" t="s">
        <v>38</v>
      </c>
      <c r="F266" s="4" t="s">
        <v>39</v>
      </c>
      <c r="G266" s="4">
        <v>4900</v>
      </c>
      <c r="H266" s="4">
        <v>2023</v>
      </c>
      <c r="I266" s="4" t="s">
        <v>28</v>
      </c>
      <c r="J266" s="16" t="s">
        <v>29</v>
      </c>
      <c r="K266" s="16" t="s">
        <v>30</v>
      </c>
      <c r="L266" s="4" t="s">
        <v>31</v>
      </c>
      <c r="M266" s="4" t="s">
        <v>856</v>
      </c>
      <c r="N266" s="4" t="str">
        <f>VLOOKUP(Tabla2[[#This Row],[No. ECO]],Hoja1!A:D,2,FALSE)</f>
        <v>BMW-</v>
      </c>
      <c r="O266" s="4" t="s">
        <v>33</v>
      </c>
      <c r="P266" s="44"/>
      <c r="Q266" s="4"/>
    </row>
    <row r="267" spans="1:17" x14ac:dyDescent="0.3">
      <c r="A267" s="4" t="str">
        <f>Tabla2[[#This Row],[TIPO2]]&amp;" "&amp;Tabla2[[#This Row],[ESTRUCTURA]]</f>
        <v>QUINTA BAJA WS COTTRELL</v>
      </c>
      <c r="B267" s="15" t="s">
        <v>857</v>
      </c>
      <c r="C267" s="4" t="s">
        <v>858</v>
      </c>
      <c r="D267" s="4" t="s">
        <v>25</v>
      </c>
      <c r="E267" s="4" t="s">
        <v>38</v>
      </c>
      <c r="F267" s="4" t="s">
        <v>39</v>
      </c>
      <c r="G267" s="4">
        <v>4900</v>
      </c>
      <c r="H267" s="4">
        <v>2023</v>
      </c>
      <c r="I267" s="4" t="s">
        <v>28</v>
      </c>
      <c r="J267" s="16" t="s">
        <v>29</v>
      </c>
      <c r="K267" s="16" t="s">
        <v>30</v>
      </c>
      <c r="L267" s="4" t="s">
        <v>31</v>
      </c>
      <c r="M267" s="4" t="s">
        <v>859</v>
      </c>
      <c r="N267" s="4" t="str">
        <f>VLOOKUP(Tabla2[[#This Row],[No. ECO]],Hoja1!A:D,2,FALSE)</f>
        <v>BMW-</v>
      </c>
      <c r="O267" s="4" t="s">
        <v>33</v>
      </c>
      <c r="P267" s="44"/>
      <c r="Q267" s="4"/>
    </row>
    <row r="268" spans="1:17" x14ac:dyDescent="0.3">
      <c r="A268" s="4" t="str">
        <f>Tabla2[[#This Row],[TIPO2]]&amp;" "&amp;Tabla2[[#This Row],[ESTRUCTURA]]</f>
        <v>QUINTA BAJA WS COTTRELL</v>
      </c>
      <c r="B268" s="15" t="s">
        <v>860</v>
      </c>
      <c r="C268" s="4" t="s">
        <v>861</v>
      </c>
      <c r="D268" s="4" t="s">
        <v>25</v>
      </c>
      <c r="E268" s="4" t="s">
        <v>38</v>
      </c>
      <c r="F268" s="4" t="s">
        <v>39</v>
      </c>
      <c r="G268" s="4">
        <v>4900</v>
      </c>
      <c r="H268" s="4">
        <v>2023</v>
      </c>
      <c r="I268" s="4" t="s">
        <v>28</v>
      </c>
      <c r="J268" s="16" t="s">
        <v>29</v>
      </c>
      <c r="K268" s="16" t="s">
        <v>30</v>
      </c>
      <c r="L268" s="4" t="s">
        <v>31</v>
      </c>
      <c r="M268" s="4" t="s">
        <v>862</v>
      </c>
      <c r="N268" s="4" t="str">
        <f>VLOOKUP(Tabla2[[#This Row],[No. ECO]],Hoja1!A:D,2,FALSE)</f>
        <v>BMW-</v>
      </c>
      <c r="O268" s="4" t="s">
        <v>41</v>
      </c>
      <c r="P268" s="44">
        <v>45521</v>
      </c>
      <c r="Q268" s="4" t="s">
        <v>47</v>
      </c>
    </row>
    <row r="269" spans="1:17" x14ac:dyDescent="0.3">
      <c r="A269" s="4" t="str">
        <f>Tabla2[[#This Row],[TIPO2]]&amp;" "&amp;Tabla2[[#This Row],[ESTRUCTURA]]</f>
        <v>QUINTA BAJA COTTRELL</v>
      </c>
      <c r="B269" s="15" t="s">
        <v>863</v>
      </c>
      <c r="C269" s="4" t="s">
        <v>864</v>
      </c>
      <c r="D269" s="4" t="s">
        <v>93</v>
      </c>
      <c r="E269" s="4" t="s">
        <v>90</v>
      </c>
      <c r="F269" s="4" t="s">
        <v>94</v>
      </c>
      <c r="G269" s="4" t="s">
        <v>102</v>
      </c>
      <c r="H269" s="4">
        <v>2025</v>
      </c>
      <c r="I269" s="4" t="s">
        <v>28</v>
      </c>
      <c r="J269" s="16" t="s">
        <v>103</v>
      </c>
      <c r="K269" s="16" t="s">
        <v>104</v>
      </c>
      <c r="L269" s="4" t="s">
        <v>97</v>
      </c>
      <c r="M269" s="4" t="s">
        <v>865</v>
      </c>
      <c r="N269" s="4" t="str">
        <f>VLOOKUP(Tabla2[[#This Row],[No. ECO]],Hoja1!A:D,2,FALSE)</f>
        <v>BMW-</v>
      </c>
      <c r="O269" s="4" t="s">
        <v>33</v>
      </c>
      <c r="P269" s="44"/>
      <c r="Q269" s="4"/>
    </row>
    <row r="270" spans="1:17" x14ac:dyDescent="0.3">
      <c r="A270" s="4" t="str">
        <f>Tabla2[[#This Row],[TIPO2]]&amp;" "&amp;Tabla2[[#This Row],[ESTRUCTURA]]</f>
        <v>QUINTA BAJA COTTRELL</v>
      </c>
      <c r="B270" s="15" t="s">
        <v>866</v>
      </c>
      <c r="C270" s="4" t="s">
        <v>867</v>
      </c>
      <c r="D270" s="4" t="s">
        <v>93</v>
      </c>
      <c r="E270" s="4" t="s">
        <v>90</v>
      </c>
      <c r="F270" s="4" t="s">
        <v>94</v>
      </c>
      <c r="G270" s="4" t="s">
        <v>102</v>
      </c>
      <c r="H270" s="4">
        <v>2025</v>
      </c>
      <c r="I270" s="4" t="s">
        <v>28</v>
      </c>
      <c r="J270" s="16" t="s">
        <v>103</v>
      </c>
      <c r="K270" s="16" t="s">
        <v>104</v>
      </c>
      <c r="L270" s="4" t="s">
        <v>97</v>
      </c>
      <c r="M270" s="4" t="s">
        <v>868</v>
      </c>
      <c r="N270" s="4" t="str">
        <f>VLOOKUP(Tabla2[[#This Row],[No. ECO]],Hoja1!A:D,2,FALSE)</f>
        <v>GM-</v>
      </c>
      <c r="O270" s="4" t="s">
        <v>41</v>
      </c>
      <c r="P270" s="44">
        <v>45611</v>
      </c>
      <c r="Q270" s="4" t="s">
        <v>42</v>
      </c>
    </row>
    <row r="271" spans="1:17" x14ac:dyDescent="0.3">
      <c r="A271" s="4" t="str">
        <f>Tabla2[[#This Row],[TIPO2]]&amp;" "&amp;Tabla2[[#This Row],[ESTRUCTURA]]</f>
        <v>FULL LOHR</v>
      </c>
      <c r="B271" s="22" t="s">
        <v>869</v>
      </c>
      <c r="C271" s="23"/>
      <c r="D271" s="23" t="s">
        <v>93</v>
      </c>
      <c r="E271" s="23" t="s">
        <v>90</v>
      </c>
      <c r="F271" s="23" t="s">
        <v>94</v>
      </c>
      <c r="G271" s="23" t="s">
        <v>102</v>
      </c>
      <c r="H271" s="23">
        <v>2024</v>
      </c>
      <c r="I271" s="23" t="s">
        <v>201</v>
      </c>
      <c r="J271" s="24" t="s">
        <v>96</v>
      </c>
      <c r="K271" s="24" t="s">
        <v>202</v>
      </c>
      <c r="L271" s="23" t="s">
        <v>97</v>
      </c>
      <c r="M271" s="23" t="s">
        <v>870</v>
      </c>
      <c r="N271" s="4" t="str">
        <f>VLOOKUP(Tabla2[[#This Row],[No. ECO]],Hoja1!A:D,2,FALSE)</f>
        <v>SIN CLIENTE-</v>
      </c>
      <c r="O271" s="4" t="s">
        <v>33</v>
      </c>
      <c r="P271" s="44"/>
      <c r="Q271" s="4"/>
    </row>
    <row r="272" spans="1:17" x14ac:dyDescent="0.3">
      <c r="A272" s="4" t="str">
        <f>Tabla2[[#This Row],[TIPO2]]&amp;" "&amp;Tabla2[[#This Row],[ESTRUCTURA]]</f>
        <v>SEMI FULL DOLLY COTTRELL</v>
      </c>
      <c r="B272" s="15" t="s">
        <v>871</v>
      </c>
      <c r="C272" s="4" t="s">
        <v>872</v>
      </c>
      <c r="D272" s="4" t="s">
        <v>93</v>
      </c>
      <c r="E272" s="4" t="s">
        <v>90</v>
      </c>
      <c r="F272" s="4" t="s">
        <v>94</v>
      </c>
      <c r="G272" s="4" t="s">
        <v>102</v>
      </c>
      <c r="H272" s="4">
        <v>2025</v>
      </c>
      <c r="I272" s="4" t="s">
        <v>28</v>
      </c>
      <c r="J272" s="16" t="s">
        <v>131</v>
      </c>
      <c r="K272" s="16" t="s">
        <v>132</v>
      </c>
      <c r="L272" s="4" t="s">
        <v>97</v>
      </c>
      <c r="M272" s="4" t="s">
        <v>873</v>
      </c>
      <c r="N272" s="4" t="str">
        <f>VLOOKUP(Tabla2[[#This Row],[No. ECO]],Hoja1!A:D,2,FALSE)</f>
        <v>BMW-</v>
      </c>
      <c r="O272" s="4" t="s">
        <v>33</v>
      </c>
      <c r="P272" s="44"/>
      <c r="Q272" s="4"/>
    </row>
    <row r="273" spans="1:17" x14ac:dyDescent="0.3">
      <c r="A273" s="4" t="str">
        <f>Tabla2[[#This Row],[TIPO2]]&amp;" "&amp;Tabla2[[#This Row],[ESTRUCTURA]]</f>
        <v>SEMI FULL DOLLY COTTRELL</v>
      </c>
      <c r="B273" s="22" t="s">
        <v>874</v>
      </c>
      <c r="C273" s="23"/>
      <c r="D273" s="23" t="s">
        <v>93</v>
      </c>
      <c r="E273" s="23" t="s">
        <v>90</v>
      </c>
      <c r="F273" s="23" t="s">
        <v>94</v>
      </c>
      <c r="G273" s="23" t="s">
        <v>102</v>
      </c>
      <c r="H273" s="23">
        <v>2024</v>
      </c>
      <c r="I273" s="23" t="s">
        <v>28</v>
      </c>
      <c r="J273" s="24" t="s">
        <v>131</v>
      </c>
      <c r="K273" s="24" t="s">
        <v>132</v>
      </c>
      <c r="L273" s="23" t="s">
        <v>97</v>
      </c>
      <c r="M273" s="23" t="s">
        <v>875</v>
      </c>
      <c r="N273" s="4" t="str">
        <f>VLOOKUP(Tabla2[[#This Row],[No. ECO]],Hoja1!A:D,2,FALSE)</f>
        <v>GM-</v>
      </c>
      <c r="O273" s="4" t="s">
        <v>33</v>
      </c>
      <c r="P273" s="44"/>
      <c r="Q273" s="4"/>
    </row>
    <row r="274" spans="1:17" x14ac:dyDescent="0.3">
      <c r="A274" s="4" t="str">
        <f>Tabla2[[#This Row],[TIPO2]]&amp;" "&amp;Tabla2[[#This Row],[ESTRUCTURA]]</f>
        <v>SEMI FULL DOLLY COTTRELL</v>
      </c>
      <c r="B274" s="15" t="s">
        <v>876</v>
      </c>
      <c r="C274" s="4" t="s">
        <v>877</v>
      </c>
      <c r="D274" s="4" t="s">
        <v>93</v>
      </c>
      <c r="E274" s="4" t="s">
        <v>90</v>
      </c>
      <c r="F274" s="4" t="s">
        <v>94</v>
      </c>
      <c r="G274" s="4" t="s">
        <v>102</v>
      </c>
      <c r="H274" s="4">
        <v>2025</v>
      </c>
      <c r="I274" s="4" t="s">
        <v>28</v>
      </c>
      <c r="J274" s="16" t="s">
        <v>131</v>
      </c>
      <c r="K274" s="16" t="s">
        <v>132</v>
      </c>
      <c r="L274" s="4" t="s">
        <v>97</v>
      </c>
      <c r="M274" s="4" t="s">
        <v>878</v>
      </c>
      <c r="N274" s="4" t="str">
        <f>VLOOKUP(Tabla2[[#This Row],[No. ECO]],Hoja1!A:D,2,FALSE)</f>
        <v>TY-EXP-</v>
      </c>
      <c r="O274" s="4" t="s">
        <v>41</v>
      </c>
      <c r="P274" s="44">
        <v>45517</v>
      </c>
      <c r="Q274" s="4" t="s">
        <v>47</v>
      </c>
    </row>
    <row r="275" spans="1:17" x14ac:dyDescent="0.3">
      <c r="A275" s="4" t="str">
        <f>Tabla2[[#This Row],[TIPO2]]&amp;" "&amp;Tabla2[[#This Row],[ESTRUCTURA]]</f>
        <v>SEMI FULL DOLLY COTTRELL</v>
      </c>
      <c r="B275" s="15" t="s">
        <v>879</v>
      </c>
      <c r="C275" s="4" t="s">
        <v>880</v>
      </c>
      <c r="D275" s="4" t="s">
        <v>93</v>
      </c>
      <c r="E275" s="4" t="s">
        <v>90</v>
      </c>
      <c r="F275" s="4" t="s">
        <v>94</v>
      </c>
      <c r="G275" s="4" t="s">
        <v>102</v>
      </c>
      <c r="H275" s="4">
        <v>2025</v>
      </c>
      <c r="I275" s="4" t="s">
        <v>28</v>
      </c>
      <c r="J275" s="16" t="s">
        <v>131</v>
      </c>
      <c r="K275" s="16" t="s">
        <v>132</v>
      </c>
      <c r="L275" s="4" t="s">
        <v>97</v>
      </c>
      <c r="M275" s="4" t="s">
        <v>881</v>
      </c>
      <c r="N275" s="4" t="str">
        <f>VLOOKUP(Tabla2[[#This Row],[No. ECO]],Hoja1!A:D,2,FALSE)</f>
        <v>SIN CLIENTE-</v>
      </c>
      <c r="O275" s="4" t="s">
        <v>33</v>
      </c>
      <c r="P275" s="44"/>
      <c r="Q275" s="4"/>
    </row>
    <row r="276" spans="1:17" x14ac:dyDescent="0.3">
      <c r="A276" s="4" t="str">
        <f>Tabla2[[#This Row],[TIPO2]]&amp;" "&amp;Tabla2[[#This Row],[ESTRUCTURA]]</f>
        <v>SEMI FULL DOLLY COTTRELL</v>
      </c>
      <c r="B276" s="22" t="s">
        <v>882</v>
      </c>
      <c r="C276" s="23" t="s">
        <v>883</v>
      </c>
      <c r="D276" s="23" t="s">
        <v>93</v>
      </c>
      <c r="E276" s="23" t="s">
        <v>90</v>
      </c>
      <c r="F276" s="23" t="s">
        <v>94</v>
      </c>
      <c r="G276" s="23" t="s">
        <v>102</v>
      </c>
      <c r="H276" s="23">
        <v>2025</v>
      </c>
      <c r="I276" s="23" t="s">
        <v>28</v>
      </c>
      <c r="J276" s="24" t="s">
        <v>131</v>
      </c>
      <c r="K276" s="24" t="s">
        <v>132</v>
      </c>
      <c r="L276" s="23" t="s">
        <v>97</v>
      </c>
      <c r="M276" s="23" t="s">
        <v>884</v>
      </c>
      <c r="N276" s="4" t="str">
        <f>VLOOKUP(Tabla2[[#This Row],[No. ECO]],Hoja1!A:D,2,FALSE)</f>
        <v>SIN CLIENTE-</v>
      </c>
      <c r="O276" s="4" t="s">
        <v>33</v>
      </c>
      <c r="P276" s="44"/>
      <c r="Q276" s="4"/>
    </row>
    <row r="277" spans="1:17" x14ac:dyDescent="0.3">
      <c r="A277" s="4" t="str">
        <f>Tabla2[[#This Row],[TIPO2]]&amp;" "&amp;Tabla2[[#This Row],[ESTRUCTURA]]</f>
        <v>SEMI FULL DOLLY COTTRELL</v>
      </c>
      <c r="B277" s="22" t="s">
        <v>885</v>
      </c>
      <c r="C277" s="23" t="s">
        <v>886</v>
      </c>
      <c r="D277" s="23" t="s">
        <v>93</v>
      </c>
      <c r="E277" s="23" t="s">
        <v>90</v>
      </c>
      <c r="F277" s="23" t="s">
        <v>94</v>
      </c>
      <c r="G277" s="23" t="s">
        <v>102</v>
      </c>
      <c r="H277" s="23">
        <v>2025</v>
      </c>
      <c r="I277" s="23" t="s">
        <v>28</v>
      </c>
      <c r="J277" s="24" t="s">
        <v>131</v>
      </c>
      <c r="K277" s="24" t="s">
        <v>132</v>
      </c>
      <c r="L277" s="23" t="s">
        <v>97</v>
      </c>
      <c r="M277" s="23" t="s">
        <v>887</v>
      </c>
      <c r="N277" s="4" t="str">
        <f>VLOOKUP(Tabla2[[#This Row],[No. ECO]],Hoja1!A:D,2,FALSE)</f>
        <v>GM-</v>
      </c>
      <c r="O277" s="4" t="s">
        <v>41</v>
      </c>
      <c r="P277" s="44">
        <v>45615</v>
      </c>
      <c r="Q277" s="4" t="s">
        <v>42</v>
      </c>
    </row>
    <row r="278" spans="1:17" x14ac:dyDescent="0.3">
      <c r="A278" s="4" t="str">
        <f>Tabla2[[#This Row],[TIPO2]]&amp;" "&amp;Tabla2[[#This Row],[ESTRUCTURA]]</f>
        <v>SEMI FULL DOLLY COTTRELL</v>
      </c>
      <c r="B278" s="15" t="s">
        <v>888</v>
      </c>
      <c r="C278" s="4" t="s">
        <v>889</v>
      </c>
      <c r="D278" s="4" t="s">
        <v>93</v>
      </c>
      <c r="E278" s="4" t="s">
        <v>90</v>
      </c>
      <c r="F278" s="4" t="s">
        <v>94</v>
      </c>
      <c r="G278" s="4" t="s">
        <v>102</v>
      </c>
      <c r="H278" s="4">
        <v>2025</v>
      </c>
      <c r="I278" s="4" t="s">
        <v>28</v>
      </c>
      <c r="J278" s="16" t="s">
        <v>131</v>
      </c>
      <c r="K278" s="16" t="s">
        <v>132</v>
      </c>
      <c r="L278" s="4" t="s">
        <v>97</v>
      </c>
      <c r="M278" s="4" t="s">
        <v>890</v>
      </c>
      <c r="N278" s="4" t="str">
        <f>VLOOKUP(Tabla2[[#This Row],[No. ECO]],Hoja1!A:D,2,FALSE)</f>
        <v>GM-</v>
      </c>
      <c r="O278" s="4" t="s">
        <v>33</v>
      </c>
      <c r="P278" s="44"/>
      <c r="Q278" s="4"/>
    </row>
    <row r="279" spans="1:17" x14ac:dyDescent="0.3">
      <c r="A279" s="4" t="str">
        <f>Tabla2[[#This Row],[TIPO2]]&amp;" "&amp;Tabla2[[#This Row],[ESTRUCTURA]]</f>
        <v>SEMI FULL DOLLY COTTRELL</v>
      </c>
      <c r="B279" s="22" t="s">
        <v>891</v>
      </c>
      <c r="C279" s="23" t="s">
        <v>892</v>
      </c>
      <c r="D279" s="23" t="s">
        <v>93</v>
      </c>
      <c r="E279" s="23" t="s">
        <v>90</v>
      </c>
      <c r="F279" s="23" t="s">
        <v>94</v>
      </c>
      <c r="G279" s="23" t="s">
        <v>102</v>
      </c>
      <c r="H279" s="23">
        <v>2025</v>
      </c>
      <c r="I279" s="23" t="s">
        <v>28</v>
      </c>
      <c r="J279" s="24" t="s">
        <v>131</v>
      </c>
      <c r="K279" s="24" t="s">
        <v>132</v>
      </c>
      <c r="L279" s="23" t="s">
        <v>97</v>
      </c>
      <c r="M279" s="23" t="s">
        <v>893</v>
      </c>
      <c r="N279" s="4" t="str">
        <f>VLOOKUP(Tabla2[[#This Row],[No. ECO]],Hoja1!A:D,2,FALSE)</f>
        <v>GM-</v>
      </c>
      <c r="O279" s="4" t="s">
        <v>33</v>
      </c>
      <c r="P279" s="44">
        <v>45581</v>
      </c>
      <c r="Q279" s="4"/>
    </row>
    <row r="280" spans="1:17" x14ac:dyDescent="0.3">
      <c r="A280" s="4" t="str">
        <f>Tabla2[[#This Row],[TIPO2]]&amp;" "&amp;Tabla2[[#This Row],[ESTRUCTURA]]</f>
        <v>SEMI FULL DOLLY COTTRELL</v>
      </c>
      <c r="B280" s="22" t="s">
        <v>894</v>
      </c>
      <c r="C280" s="23"/>
      <c r="D280" s="23" t="s">
        <v>93</v>
      </c>
      <c r="E280" s="23" t="s">
        <v>90</v>
      </c>
      <c r="F280" s="23" t="s">
        <v>94</v>
      </c>
      <c r="G280" s="23" t="s">
        <v>102</v>
      </c>
      <c r="H280" s="23">
        <v>2024</v>
      </c>
      <c r="I280" s="23" t="s">
        <v>28</v>
      </c>
      <c r="J280" s="24" t="s">
        <v>131</v>
      </c>
      <c r="K280" s="24" t="s">
        <v>132</v>
      </c>
      <c r="L280" s="23" t="s">
        <v>97</v>
      </c>
      <c r="M280" s="23" t="s">
        <v>895</v>
      </c>
      <c r="N280" s="4" t="str">
        <f>VLOOKUP(Tabla2[[#This Row],[No. ECO]],Hoja1!A:D,2,FALSE)</f>
        <v>SIN CLIENTE-</v>
      </c>
      <c r="O280" s="4" t="s">
        <v>41</v>
      </c>
      <c r="P280" s="44">
        <v>45572</v>
      </c>
      <c r="Q280" s="4" t="s">
        <v>42</v>
      </c>
    </row>
    <row r="281" spans="1:17" x14ac:dyDescent="0.3">
      <c r="A281" s="4" t="str">
        <f>Tabla2[[#This Row],[TIPO2]]&amp;" "&amp;Tabla2[[#This Row],[ESTRUCTURA]]</f>
        <v>SEMI FULL DOLLY COTTRELL</v>
      </c>
      <c r="B281" s="15" t="s">
        <v>896</v>
      </c>
      <c r="C281" s="4" t="s">
        <v>897</v>
      </c>
      <c r="D281" s="4" t="s">
        <v>93</v>
      </c>
      <c r="E281" s="4" t="s">
        <v>90</v>
      </c>
      <c r="F281" s="4" t="s">
        <v>94</v>
      </c>
      <c r="G281" s="4" t="s">
        <v>102</v>
      </c>
      <c r="H281" s="4">
        <v>2025</v>
      </c>
      <c r="I281" s="4" t="s">
        <v>28</v>
      </c>
      <c r="J281" s="16" t="s">
        <v>131</v>
      </c>
      <c r="K281" s="16" t="s">
        <v>132</v>
      </c>
      <c r="L281" s="4" t="s">
        <v>97</v>
      </c>
      <c r="M281" s="4" t="s">
        <v>898</v>
      </c>
      <c r="N281" s="4" t="str">
        <f>VLOOKUP(Tabla2[[#This Row],[No. ECO]],Hoja1!A:D,2,FALSE)</f>
        <v>GM-</v>
      </c>
      <c r="O281" s="4" t="s">
        <v>33</v>
      </c>
      <c r="P281" s="44"/>
      <c r="Q281" s="4"/>
    </row>
    <row r="282" spans="1:17" x14ac:dyDescent="0.3">
      <c r="A282" s="4" t="str">
        <f>Tabla2[[#This Row],[TIPO2]]&amp;" "&amp;Tabla2[[#This Row],[ESTRUCTURA]]</f>
        <v>SEMI FULL DOLLY COTTRELL</v>
      </c>
      <c r="B282" s="15" t="s">
        <v>899</v>
      </c>
      <c r="C282" s="4" t="s">
        <v>900</v>
      </c>
      <c r="D282" s="4" t="s">
        <v>93</v>
      </c>
      <c r="E282" s="4" t="s">
        <v>90</v>
      </c>
      <c r="F282" s="4" t="s">
        <v>94</v>
      </c>
      <c r="G282" s="4" t="s">
        <v>102</v>
      </c>
      <c r="H282" s="4">
        <v>2024</v>
      </c>
      <c r="I282" s="4" t="s">
        <v>28</v>
      </c>
      <c r="J282" s="16" t="s">
        <v>131</v>
      </c>
      <c r="K282" s="16" t="s">
        <v>132</v>
      </c>
      <c r="L282" s="4" t="s">
        <v>97</v>
      </c>
      <c r="M282" s="4" t="s">
        <v>901</v>
      </c>
      <c r="N282" s="4" t="str">
        <f>VLOOKUP(Tabla2[[#This Row],[No. ECO]],Hoja1!A:D,2,FALSE)</f>
        <v>GM-</v>
      </c>
      <c r="O282" s="4" t="s">
        <v>41</v>
      </c>
      <c r="P282" s="44">
        <v>45610</v>
      </c>
      <c r="Q282" s="4" t="s">
        <v>42</v>
      </c>
    </row>
    <row r="283" spans="1:17" x14ac:dyDescent="0.3">
      <c r="A283" s="4" t="str">
        <f>Tabla2[[#This Row],[TIPO2]]&amp;" "&amp;Tabla2[[#This Row],[ESTRUCTURA]]</f>
        <v>SEMI FULL DOLLY COTTRELL</v>
      </c>
      <c r="B283" s="15" t="s">
        <v>902</v>
      </c>
      <c r="C283" s="4" t="s">
        <v>903</v>
      </c>
      <c r="D283" s="4" t="s">
        <v>93</v>
      </c>
      <c r="E283" s="4" t="s">
        <v>90</v>
      </c>
      <c r="F283" s="4" t="s">
        <v>94</v>
      </c>
      <c r="G283" s="4" t="s">
        <v>102</v>
      </c>
      <c r="H283" s="4">
        <v>2025</v>
      </c>
      <c r="I283" s="4" t="s">
        <v>28</v>
      </c>
      <c r="J283" s="16" t="s">
        <v>131</v>
      </c>
      <c r="K283" s="16" t="s">
        <v>132</v>
      </c>
      <c r="L283" s="4" t="s">
        <v>97</v>
      </c>
      <c r="M283" s="4" t="s">
        <v>904</v>
      </c>
      <c r="N283" s="4" t="str">
        <f>VLOOKUP(Tabla2[[#This Row],[No. ECO]],Hoja1!A:D,2,FALSE)</f>
        <v>GM-</v>
      </c>
      <c r="O283" s="4" t="s">
        <v>41</v>
      </c>
      <c r="P283" s="44">
        <v>45609</v>
      </c>
      <c r="Q283" s="4" t="s">
        <v>42</v>
      </c>
    </row>
    <row r="284" spans="1:17" x14ac:dyDescent="0.3">
      <c r="A284" s="4" t="str">
        <f>Tabla2[[#This Row],[TIPO2]]&amp;" "&amp;Tabla2[[#This Row],[ESTRUCTURA]]</f>
        <v>QUINTA BAJA WS COTTRELL</v>
      </c>
      <c r="B284" s="22" t="s">
        <v>905</v>
      </c>
      <c r="C284" s="23"/>
      <c r="D284" s="23" t="s">
        <v>93</v>
      </c>
      <c r="E284" s="23" t="s">
        <v>90</v>
      </c>
      <c r="F284" s="23" t="s">
        <v>94</v>
      </c>
      <c r="G284" s="23" t="s">
        <v>102</v>
      </c>
      <c r="H284" s="23">
        <v>2024</v>
      </c>
      <c r="I284" s="23" t="s">
        <v>28</v>
      </c>
      <c r="J284" s="24" t="s">
        <v>29</v>
      </c>
      <c r="K284" s="24" t="s">
        <v>30</v>
      </c>
      <c r="L284" s="23" t="s">
        <v>97</v>
      </c>
      <c r="M284" s="23" t="s">
        <v>906</v>
      </c>
      <c r="N284" s="4" t="str">
        <f>VLOOKUP(Tabla2[[#This Row],[No. ECO]],Hoja1!A:D,2,FALSE)</f>
        <v>DT-</v>
      </c>
      <c r="O284" s="4" t="s">
        <v>33</v>
      </c>
      <c r="P284" s="44"/>
      <c r="Q284" s="4"/>
    </row>
    <row r="285" spans="1:17" x14ac:dyDescent="0.3">
      <c r="A285" s="14" t="str">
        <f>Tabla2[[#This Row],[TIPO2]]&amp;" "&amp;Tabla2[[#This Row],[ESTRUCTURA]]</f>
        <v xml:space="preserve"> </v>
      </c>
      <c r="B285" s="17" t="s">
        <v>268</v>
      </c>
      <c r="C285" s="14"/>
      <c r="D285" s="14"/>
      <c r="E285" s="14"/>
      <c r="F285" s="14"/>
      <c r="G285" s="14"/>
      <c r="H285" s="14"/>
      <c r="I285" s="14"/>
      <c r="J285" s="18"/>
      <c r="K285" s="18"/>
      <c r="L285" s="14"/>
      <c r="M285" s="18"/>
      <c r="N285" s="40" t="str">
        <f>VLOOKUP(Tabla2[[#This Row],[No. ECO]],Hoja1!A:D,2,FALSE)</f>
        <v>GM-</v>
      </c>
      <c r="O285" s="40" t="s">
        <v>41</v>
      </c>
      <c r="P285" s="43">
        <v>45604</v>
      </c>
      <c r="Q285" s="40" t="s">
        <v>42</v>
      </c>
    </row>
    <row r="286" spans="1:17" x14ac:dyDescent="0.3">
      <c r="A286" s="14" t="str">
        <f>Tabla2[[#This Row],[TIPO2]]&amp;" "&amp;Tabla2[[#This Row],[ESTRUCTURA]]</f>
        <v>QUINTA BAJA WS COTTRELL</v>
      </c>
      <c r="B286" s="17" t="s">
        <v>512</v>
      </c>
      <c r="C286" s="14"/>
      <c r="D286" s="4" t="s">
        <v>25</v>
      </c>
      <c r="E286" s="4" t="s">
        <v>38</v>
      </c>
      <c r="F286" s="4" t="s">
        <v>39</v>
      </c>
      <c r="G286" s="4">
        <v>4900</v>
      </c>
      <c r="H286" s="4">
        <v>2023</v>
      </c>
      <c r="I286" s="4" t="s">
        <v>28</v>
      </c>
      <c r="J286" s="16" t="s">
        <v>29</v>
      </c>
      <c r="K286" s="16" t="s">
        <v>30</v>
      </c>
      <c r="L286" s="4" t="s">
        <v>31</v>
      </c>
      <c r="M286" s="18" t="s">
        <v>516</v>
      </c>
      <c r="N286" s="40" t="str">
        <f>VLOOKUP(Tabla2[[#This Row],[No. ECO]],Hoja1!A:D,2,FALSE)</f>
        <v>DT-</v>
      </c>
      <c r="O286" s="40" t="s">
        <v>41</v>
      </c>
      <c r="P286" s="43">
        <v>45608</v>
      </c>
      <c r="Q286" s="40" t="s">
        <v>42</v>
      </c>
    </row>
    <row r="287" spans="1:17" x14ac:dyDescent="0.3">
      <c r="A287" s="14" t="str">
        <f>Tabla2[[#This Row],[TIPO2]]&amp;" "&amp;Tabla2[[#This Row],[ESTRUCTURA]]</f>
        <v xml:space="preserve"> </v>
      </c>
      <c r="B287" s="17" t="s">
        <v>428</v>
      </c>
      <c r="C287" s="14"/>
      <c r="D287" s="14"/>
      <c r="E287" s="14"/>
      <c r="F287" s="14"/>
      <c r="G287" s="14"/>
      <c r="H287" s="14"/>
      <c r="I287" s="14"/>
      <c r="J287" s="18"/>
      <c r="K287" s="18"/>
      <c r="L287" s="14"/>
      <c r="M287" s="18"/>
      <c r="N287" s="40" t="str">
        <f>VLOOKUP(Tabla2[[#This Row],[No. ECO]],Hoja1!A:D,2,FALSE)</f>
        <v>MZ-</v>
      </c>
      <c r="O287" s="40" t="s">
        <v>41</v>
      </c>
      <c r="P287" s="43">
        <v>45608</v>
      </c>
      <c r="Q287" s="40" t="s">
        <v>42</v>
      </c>
    </row>
    <row r="288" spans="1:17" x14ac:dyDescent="0.3">
      <c r="A288" s="14" t="str">
        <f>Tabla2[[#This Row],[TIPO2]]&amp;" "&amp;Tabla2[[#This Row],[ESTRUCTURA]]</f>
        <v xml:space="preserve"> </v>
      </c>
      <c r="B288" s="17" t="s">
        <v>907</v>
      </c>
      <c r="C288" s="14"/>
      <c r="D288" s="14"/>
      <c r="E288" s="14"/>
      <c r="F288" s="14"/>
      <c r="G288" s="14"/>
      <c r="H288" s="14"/>
      <c r="I288" s="14"/>
      <c r="J288" s="18"/>
      <c r="K288" s="18"/>
      <c r="L288" s="14"/>
      <c r="M288" s="18"/>
      <c r="N288" s="40" t="e">
        <f>VLOOKUP(Tabla2[[#This Row],[No. ECO]],Hoja1!A:D,2,FALSE)</f>
        <v>#N/A</v>
      </c>
      <c r="O288" s="40" t="s">
        <v>41</v>
      </c>
      <c r="P288" s="43">
        <v>45608</v>
      </c>
      <c r="Q288" s="40" t="s">
        <v>42</v>
      </c>
    </row>
    <row r="289" spans="1:17" x14ac:dyDescent="0.3">
      <c r="A289" s="14" t="str">
        <f>Tabla2[[#This Row],[TIPO2]]&amp;" "&amp;Tabla2[[#This Row],[ESTRUCTURA]]</f>
        <v xml:space="preserve"> </v>
      </c>
      <c r="B289" s="17" t="s">
        <v>376</v>
      </c>
      <c r="C289" s="14"/>
      <c r="D289" s="14"/>
      <c r="E289" s="14"/>
      <c r="F289" s="14"/>
      <c r="G289" s="14"/>
      <c r="H289" s="14"/>
      <c r="I289" s="14"/>
      <c r="J289" s="18"/>
      <c r="K289" s="18"/>
      <c r="L289" s="14"/>
      <c r="M289" s="18"/>
      <c r="N289" s="40" t="str">
        <f>VLOOKUP(Tabla2[[#This Row],[No. ECO]],Hoja1!A:D,2,FALSE)</f>
        <v>GM-</v>
      </c>
      <c r="O289" s="40" t="s">
        <v>41</v>
      </c>
      <c r="P289" s="43">
        <v>45608</v>
      </c>
      <c r="Q289" s="40" t="s">
        <v>42</v>
      </c>
    </row>
    <row r="290" spans="1:17" x14ac:dyDescent="0.3">
      <c r="A290" s="14" t="str">
        <f>Tabla2[[#This Row],[TIPO2]]&amp;" "&amp;Tabla2[[#This Row],[ESTRUCTURA]]</f>
        <v xml:space="preserve"> </v>
      </c>
      <c r="B290" s="17" t="s">
        <v>391</v>
      </c>
      <c r="C290" s="14"/>
      <c r="D290" s="14"/>
      <c r="E290" s="14"/>
      <c r="F290" s="14"/>
      <c r="G290" s="14"/>
      <c r="H290" s="14"/>
      <c r="I290" s="14"/>
      <c r="J290" s="18"/>
      <c r="K290" s="18"/>
      <c r="L290" s="14"/>
      <c r="M290" s="18"/>
      <c r="N290" s="40" t="str">
        <f>VLOOKUP(Tabla2[[#This Row],[No. ECO]],Hoja1!A:D,2,FALSE)</f>
        <v>GM-</v>
      </c>
      <c r="O290" s="40" t="s">
        <v>41</v>
      </c>
      <c r="P290" s="43">
        <v>45608</v>
      </c>
      <c r="Q290" s="40" t="s">
        <v>42</v>
      </c>
    </row>
    <row r="291" spans="1:17" x14ac:dyDescent="0.3">
      <c r="A291" s="14" t="str">
        <f>Tabla2[[#This Row],[TIPO2]]&amp;" "&amp;Tabla2[[#This Row],[ESTRUCTURA]]</f>
        <v xml:space="preserve"> </v>
      </c>
      <c r="B291" s="17" t="s">
        <v>874</v>
      </c>
      <c r="C291" s="14"/>
      <c r="D291" s="14"/>
      <c r="E291" s="14"/>
      <c r="F291" s="14"/>
      <c r="G291" s="14"/>
      <c r="H291" s="14"/>
      <c r="I291" s="14"/>
      <c r="J291" s="18"/>
      <c r="K291" s="18"/>
      <c r="L291" s="14"/>
      <c r="M291" s="18"/>
      <c r="N291" s="40" t="str">
        <f>VLOOKUP(Tabla2[[#This Row],[No. ECO]],Hoja1!A:D,2,FALSE)</f>
        <v>GM-</v>
      </c>
      <c r="O291" s="40" t="s">
        <v>41</v>
      </c>
      <c r="P291" s="43">
        <v>45608</v>
      </c>
      <c r="Q291" s="40" t="s">
        <v>42</v>
      </c>
    </row>
    <row r="292" spans="1:17" x14ac:dyDescent="0.3">
      <c r="A292" s="14" t="str">
        <f>Tabla2[[#This Row],[TIPO2]]&amp;" "&amp;Tabla2[[#This Row],[ESTRUCTURA]]</f>
        <v xml:space="preserve"> </v>
      </c>
      <c r="B292" s="17" t="s">
        <v>237</v>
      </c>
      <c r="C292" s="14"/>
      <c r="D292" s="14"/>
      <c r="E292" s="14"/>
      <c r="F292" s="14"/>
      <c r="G292" s="14"/>
      <c r="H292" s="14"/>
      <c r="I292" s="14"/>
      <c r="J292" s="18"/>
      <c r="K292" s="18"/>
      <c r="L292" s="14"/>
      <c r="M292" s="18"/>
      <c r="N292" s="40" t="str">
        <f>VLOOKUP(Tabla2[[#This Row],[No. ECO]],Hoja1!A:D,2,FALSE)</f>
        <v>AU-</v>
      </c>
      <c r="O292" s="40" t="s">
        <v>41</v>
      </c>
      <c r="P292" s="43">
        <v>45609</v>
      </c>
      <c r="Q292" s="40" t="s">
        <v>42</v>
      </c>
    </row>
    <row r="293" spans="1:17" x14ac:dyDescent="0.3">
      <c r="A293" s="14" t="str">
        <f>Tabla2[[#This Row],[TIPO2]]&amp;" "&amp;Tabla2[[#This Row],[ESTRUCTURA]]</f>
        <v xml:space="preserve"> </v>
      </c>
      <c r="B293" s="17" t="s">
        <v>565</v>
      </c>
      <c r="C293" s="14"/>
      <c r="D293" s="14"/>
      <c r="E293" s="14"/>
      <c r="F293" s="14"/>
      <c r="G293" s="14"/>
      <c r="H293" s="14"/>
      <c r="I293" s="14"/>
      <c r="J293" s="18"/>
      <c r="K293" s="18"/>
      <c r="L293" s="14"/>
      <c r="M293" s="18"/>
      <c r="N293" s="40" t="str">
        <f>VLOOKUP(Tabla2[[#This Row],[No. ECO]],Hoja1!A:D,2,FALSE)</f>
        <v>DT-</v>
      </c>
      <c r="O293" s="40" t="s">
        <v>41</v>
      </c>
      <c r="P293" s="43">
        <v>45609</v>
      </c>
      <c r="Q293" s="40" t="s">
        <v>42</v>
      </c>
    </row>
    <row r="294" spans="1:17" x14ac:dyDescent="0.3">
      <c r="A294" s="14" t="str">
        <f>Tabla2[[#This Row],[TIPO2]]&amp;" "&amp;Tabla2[[#This Row],[ESTRUCTURA]]</f>
        <v xml:space="preserve"> </v>
      </c>
      <c r="B294" s="17" t="s">
        <v>712</v>
      </c>
      <c r="C294" s="14"/>
      <c r="D294" s="14"/>
      <c r="E294" s="14"/>
      <c r="F294" s="14"/>
      <c r="G294" s="14"/>
      <c r="H294" s="14"/>
      <c r="I294" s="14"/>
      <c r="J294" s="18"/>
      <c r="K294" s="18"/>
      <c r="L294" s="14"/>
      <c r="M294" s="18"/>
      <c r="N294" s="40" t="str">
        <f>VLOOKUP(Tabla2[[#This Row],[No. ECO]],Hoja1!A:D,2,FALSE)</f>
        <v>GM-</v>
      </c>
      <c r="O294" s="40" t="s">
        <v>41</v>
      </c>
      <c r="P294" s="43">
        <v>45609</v>
      </c>
      <c r="Q294" s="40" t="s">
        <v>42</v>
      </c>
    </row>
    <row r="295" spans="1:17" x14ac:dyDescent="0.3">
      <c r="A295" s="14" t="str">
        <f>Tabla2[[#This Row],[TIPO2]]&amp;" "&amp;Tabla2[[#This Row],[ESTRUCTURA]]</f>
        <v xml:space="preserve"> </v>
      </c>
      <c r="B295" s="17" t="s">
        <v>908</v>
      </c>
      <c r="C295" s="14"/>
      <c r="D295" s="14"/>
      <c r="E295" s="14"/>
      <c r="F295" s="14"/>
      <c r="G295" s="14"/>
      <c r="H295" s="14"/>
      <c r="I295" s="14"/>
      <c r="J295" s="18"/>
      <c r="K295" s="18"/>
      <c r="L295" s="14"/>
      <c r="M295" s="18"/>
      <c r="N295" s="40" t="e">
        <f>VLOOKUP(Tabla2[[#This Row],[No. ECO]],Hoja1!A:D,2,FALSE)</f>
        <v>#N/A</v>
      </c>
      <c r="O295" s="40" t="s">
        <v>41</v>
      </c>
      <c r="P295" s="43">
        <v>45610</v>
      </c>
      <c r="Q295" s="40" t="s">
        <v>42</v>
      </c>
    </row>
    <row r="296" spans="1:17" x14ac:dyDescent="0.3">
      <c r="A296" s="4"/>
      <c r="B296" s="22"/>
      <c r="C296" s="23"/>
      <c r="D296" s="23"/>
      <c r="E296" s="23"/>
      <c r="F296" s="23"/>
      <c r="G296" s="23"/>
      <c r="H296" s="23"/>
      <c r="I296" s="23"/>
      <c r="J296" s="24"/>
      <c r="K296" s="24"/>
      <c r="L296" s="23"/>
      <c r="M296" s="20"/>
      <c r="N296" s="40"/>
      <c r="O296" s="40"/>
      <c r="P296" s="43"/>
      <c r="Q296" s="40"/>
    </row>
    <row r="297" spans="1:17" x14ac:dyDescent="0.3">
      <c r="A297" s="4"/>
      <c r="B297" s="15"/>
      <c r="C297" s="4"/>
      <c r="D297" s="4"/>
      <c r="E297" s="4"/>
      <c r="F297" s="4"/>
      <c r="G297" s="4"/>
      <c r="H297" s="4"/>
      <c r="I297" s="4"/>
      <c r="J297" s="16"/>
      <c r="K297" s="16"/>
      <c r="L297" s="4"/>
      <c r="M297" s="4"/>
      <c r="N297" s="40"/>
      <c r="O297" s="40"/>
      <c r="P297" s="43"/>
      <c r="Q297" s="40"/>
    </row>
    <row r="298" spans="1:17" x14ac:dyDescent="0.3">
      <c r="A298" s="4"/>
      <c r="B298" s="22"/>
      <c r="C298" s="23"/>
      <c r="D298" s="23"/>
      <c r="E298" s="23"/>
      <c r="F298" s="23"/>
      <c r="G298" s="23"/>
      <c r="H298" s="23"/>
      <c r="I298" s="23"/>
      <c r="J298" s="24"/>
      <c r="K298" s="24"/>
      <c r="L298" s="23"/>
      <c r="M298" s="23"/>
      <c r="N298" s="40"/>
      <c r="O298" s="40"/>
      <c r="P298" s="43"/>
      <c r="Q298" s="40"/>
    </row>
    <row r="299" spans="1:17" x14ac:dyDescent="0.3">
      <c r="A299" s="4"/>
      <c r="B299" s="22"/>
      <c r="C299" s="23"/>
      <c r="D299" s="23"/>
      <c r="E299" s="23"/>
      <c r="F299" s="23"/>
      <c r="G299" s="23"/>
      <c r="H299" s="23"/>
      <c r="I299" s="23"/>
      <c r="J299" s="24"/>
      <c r="K299" s="24"/>
      <c r="L299" s="23"/>
      <c r="M299" s="23"/>
      <c r="N299" s="40"/>
      <c r="O299" s="40"/>
      <c r="P299" s="43"/>
      <c r="Q299" s="40"/>
    </row>
    <row r="300" spans="1:17" x14ac:dyDescent="0.3">
      <c r="A300" s="14"/>
      <c r="B300" s="25"/>
      <c r="C300" s="26"/>
      <c r="D300" s="26"/>
      <c r="E300" s="26"/>
      <c r="F300" s="26"/>
      <c r="G300" s="26"/>
      <c r="H300" s="26"/>
      <c r="I300" s="26"/>
      <c r="J300" s="27"/>
      <c r="K300" s="27"/>
      <c r="L300" s="26"/>
      <c r="M300" s="23"/>
      <c r="N300" s="40"/>
      <c r="O300" s="40"/>
      <c r="P300" s="43"/>
      <c r="Q300" s="40"/>
    </row>
    <row r="301" spans="1:17" x14ac:dyDescent="0.3">
      <c r="A301" s="14"/>
      <c r="B301" s="25"/>
      <c r="C301" s="26"/>
      <c r="D301" s="26"/>
      <c r="E301" s="26"/>
      <c r="F301" s="26"/>
      <c r="G301" s="26"/>
      <c r="H301" s="26"/>
      <c r="I301" s="26"/>
      <c r="J301" s="24"/>
      <c r="K301" s="24"/>
      <c r="L301" s="26"/>
      <c r="M301" s="27"/>
      <c r="N301" s="40"/>
      <c r="O301" s="40"/>
      <c r="P301" s="43"/>
      <c r="Q301" s="40"/>
    </row>
    <row r="302" spans="1:17" x14ac:dyDescent="0.3">
      <c r="A302" s="14"/>
      <c r="B302" s="25"/>
      <c r="C302" s="26"/>
      <c r="D302" s="26"/>
      <c r="E302" s="26"/>
      <c r="F302" s="26"/>
      <c r="G302" s="26"/>
      <c r="H302" s="26"/>
      <c r="I302" s="26"/>
      <c r="J302" s="24"/>
      <c r="K302" s="24"/>
      <c r="L302" s="26"/>
      <c r="M302" s="27"/>
      <c r="N302" s="40"/>
      <c r="O302" s="40"/>
      <c r="P302" s="43"/>
      <c r="Q302" s="40"/>
    </row>
    <row r="303" spans="1:17" x14ac:dyDescent="0.3">
      <c r="A303" s="14"/>
      <c r="B303" s="25"/>
      <c r="C303" s="26"/>
      <c r="D303" s="26"/>
      <c r="E303" s="26"/>
      <c r="F303" s="26"/>
      <c r="G303" s="26"/>
      <c r="H303" s="26"/>
      <c r="I303" s="26"/>
      <c r="J303" s="24"/>
      <c r="K303" s="24"/>
      <c r="L303" s="26"/>
      <c r="M303" s="27"/>
      <c r="N303" s="40"/>
      <c r="O303" s="40"/>
      <c r="P303" s="43"/>
      <c r="Q303" s="40"/>
    </row>
    <row r="304" spans="1:17" x14ac:dyDescent="0.3">
      <c r="A304" s="14" t="str">
        <f>Tabla2[[#This Row],[TIPO2]]&amp;" "&amp;Tabla2[[#This Row],[ESTRUCTURA]]</f>
        <v xml:space="preserve"> </v>
      </c>
      <c r="B304" s="17" t="s">
        <v>909</v>
      </c>
      <c r="C304" s="14"/>
      <c r="D304" s="14"/>
      <c r="E304" s="14"/>
      <c r="F304" s="14"/>
      <c r="G304" s="14"/>
      <c r="H304" s="14"/>
      <c r="I304" s="14"/>
      <c r="J304" s="18"/>
      <c r="K304" s="18"/>
      <c r="L304" s="14"/>
      <c r="M304" s="18"/>
      <c r="N304" s="40" t="e">
        <f>VLOOKUP(Tabla2[[#This Row],[No. ECO]],Hoja1!A:D,2,FALSE)</f>
        <v>#N/A</v>
      </c>
      <c r="O304" s="40"/>
      <c r="P304" s="43"/>
      <c r="Q304" s="40"/>
    </row>
    <row r="305" spans="1:17" x14ac:dyDescent="0.3">
      <c r="A305" s="14" t="str">
        <f>Tabla2[[#This Row],[TIPO2]]&amp;" "&amp;Tabla2[[#This Row],[ESTRUCTURA]]</f>
        <v xml:space="preserve"> </v>
      </c>
      <c r="B305" s="17" t="s">
        <v>910</v>
      </c>
      <c r="C305" s="14"/>
      <c r="D305" s="14"/>
      <c r="E305" s="14"/>
      <c r="F305" s="14"/>
      <c r="G305" s="14"/>
      <c r="H305" s="14"/>
      <c r="I305" s="14"/>
      <c r="J305" s="18"/>
      <c r="K305" s="18"/>
      <c r="L305" s="14"/>
      <c r="M305" s="18"/>
      <c r="N305" s="40" t="e">
        <f>VLOOKUP(Tabla2[[#This Row],[No. ECO]],Hoja1!A:D,2,FALSE)</f>
        <v>#N/A</v>
      </c>
      <c r="O305" s="40" t="s">
        <v>41</v>
      </c>
      <c r="P305" s="43">
        <v>45615</v>
      </c>
      <c r="Q305" s="40" t="s">
        <v>42</v>
      </c>
    </row>
  </sheetData>
  <autoFilter ref="C1:R4" xr:uid="{878AB07D-751E-4D59-B733-0BFE5364B7D2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">
    <mergeCell ref="A1:B4"/>
    <mergeCell ref="E1:Q4"/>
  </mergeCells>
  <phoneticPr fontId="4" type="noConversion"/>
  <conditionalFormatting sqref="O5:O1048576">
    <cfRule type="containsText" dxfId="3" priority="1" operator="containsText" text="NO">
      <formula>NOT(ISERROR(SEARCH("NO",O5)))</formula>
    </cfRule>
    <cfRule type="containsText" dxfId="2" priority="2" operator="containsText" text="Si">
      <formula>NOT(ISERROR(SEARCH("Si",O5)))</formula>
    </cfRule>
  </conditionalFormatting>
  <dataValidations count="3">
    <dataValidation allowBlank="1" showInputMessage="1" showErrorMessage="1" sqref="O5" xr:uid="{102AB776-BDBB-4D83-B341-25B0842E7094}"/>
    <dataValidation type="list" allowBlank="1" showInputMessage="1" showErrorMessage="1" sqref="O6:O1048576" xr:uid="{F4457AC3-8DA7-4569-917F-2E329B8F7744}">
      <formula1>"SI,NO"</formula1>
    </dataValidation>
    <dataValidation type="list" allowBlank="1" showInputMessage="1" showErrorMessage="1" sqref="Q1:Q1048576" xr:uid="{156806D4-660D-49A5-A08D-79E974D9C5A5}">
      <formula1>"Salinas,Salamanca"</formula1>
    </dataValidation>
  </dataValidations>
  <pageMargins left="0.70866141732283472" right="0.70866141732283472" top="0.74803149606299213" bottom="0.74803149606299213" header="0.31496062992125984" footer="0.31496062992125984"/>
  <pageSetup scale="105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CF4C-0E98-4AEC-8BF3-D28A1B92C242}">
  <dimension ref="A1:F292"/>
  <sheetViews>
    <sheetView tabSelected="1" topLeftCell="A269" workbookViewId="0">
      <selection activeCell="F2" sqref="F2:F292"/>
    </sheetView>
  </sheetViews>
  <sheetFormatPr baseColWidth="10" defaultRowHeight="14.4" x14ac:dyDescent="0.3"/>
  <cols>
    <col min="4" max="4" width="11.5546875" style="73"/>
    <col min="6" max="6" width="95" customWidth="1"/>
  </cols>
  <sheetData>
    <row r="1" spans="1:6" x14ac:dyDescent="0.3">
      <c r="A1" t="s">
        <v>963</v>
      </c>
      <c r="B1" t="s">
        <v>962</v>
      </c>
      <c r="D1" s="73" t="s">
        <v>964</v>
      </c>
    </row>
    <row r="2" spans="1:6" x14ac:dyDescent="0.3">
      <c r="A2" t="s">
        <v>911</v>
      </c>
      <c r="B2" s="70" t="s">
        <v>33</v>
      </c>
      <c r="C2" s="70">
        <v>0</v>
      </c>
      <c r="D2" s="74" t="s">
        <v>975</v>
      </c>
      <c r="F2" t="str">
        <f>CONCATENATE("update unidad set gobernada = ", C2,", fechagobernada = ",D2,"' where name = '",A2,"';")</f>
        <v>update unidad set gobernada = 0, fechagobernada = null' where name = 'C-01';</v>
      </c>
    </row>
    <row r="3" spans="1:6" x14ac:dyDescent="0.3">
      <c r="A3" t="s">
        <v>965</v>
      </c>
      <c r="B3" s="70" t="s">
        <v>41</v>
      </c>
      <c r="C3" s="70">
        <v>1</v>
      </c>
      <c r="D3" s="75" t="s">
        <v>976</v>
      </c>
      <c r="F3" t="str">
        <f t="shared" ref="F3:F66" si="0">CONCATENATE("update unidad set gobernada = ", C3,", fechagobernada = ",D3,"' where name = '",A3,"';")</f>
        <v>update unidad set gobernada = 1, fechagobernada = '2024-08-01' where name = 'C-02';</v>
      </c>
    </row>
    <row r="4" spans="1:6" x14ac:dyDescent="0.3">
      <c r="A4" t="s">
        <v>966</v>
      </c>
      <c r="B4" s="70" t="s">
        <v>41</v>
      </c>
      <c r="C4" s="70">
        <v>1</v>
      </c>
      <c r="D4" s="75" t="s">
        <v>977</v>
      </c>
      <c r="F4" t="str">
        <f t="shared" si="0"/>
        <v>update unidad set gobernada = 1, fechagobernada = '2024-08-17' where name = 'C-03';</v>
      </c>
    </row>
    <row r="5" spans="1:6" x14ac:dyDescent="0.3">
      <c r="A5" t="s">
        <v>967</v>
      </c>
      <c r="B5" s="70" t="s">
        <v>41</v>
      </c>
      <c r="C5" s="70">
        <v>1</v>
      </c>
      <c r="D5" s="75" t="s">
        <v>978</v>
      </c>
      <c r="F5" t="str">
        <f t="shared" si="0"/>
        <v>update unidad set gobernada = 1, fechagobernada = '2024-10-07' where name = 'C-04';</v>
      </c>
    </row>
    <row r="6" spans="1:6" x14ac:dyDescent="0.3">
      <c r="A6" t="s">
        <v>912</v>
      </c>
      <c r="B6" s="70" t="s">
        <v>33</v>
      </c>
      <c r="C6" s="70">
        <v>0</v>
      </c>
      <c r="D6" s="74" t="s">
        <v>975</v>
      </c>
      <c r="F6" t="str">
        <f t="shared" si="0"/>
        <v>update unidad set gobernada = 0, fechagobernada = null' where name = 'C-36';</v>
      </c>
    </row>
    <row r="7" spans="1:6" x14ac:dyDescent="0.3">
      <c r="A7" t="s">
        <v>968</v>
      </c>
      <c r="B7" s="70" t="s">
        <v>41</v>
      </c>
      <c r="C7" s="70">
        <v>1</v>
      </c>
      <c r="D7" s="75" t="s">
        <v>977</v>
      </c>
      <c r="F7" t="str">
        <f t="shared" si="0"/>
        <v>update unidad set gobernada = 1, fechagobernada = '2024-08-17' where name = 'C-37';</v>
      </c>
    </row>
    <row r="8" spans="1:6" x14ac:dyDescent="0.3">
      <c r="A8" t="s">
        <v>969</v>
      </c>
      <c r="B8" s="70" t="s">
        <v>41</v>
      </c>
      <c r="C8" s="70">
        <v>1</v>
      </c>
      <c r="D8" s="75" t="s">
        <v>976</v>
      </c>
      <c r="F8" t="str">
        <f t="shared" si="0"/>
        <v>update unidad set gobernada = 1, fechagobernada = '2024-08-01' where name = 'C-38';</v>
      </c>
    </row>
    <row r="9" spans="1:6" x14ac:dyDescent="0.3">
      <c r="A9" t="s">
        <v>970</v>
      </c>
      <c r="B9" s="70" t="s">
        <v>41</v>
      </c>
      <c r="C9" s="70">
        <v>1</v>
      </c>
      <c r="D9" s="75" t="s">
        <v>979</v>
      </c>
      <c r="F9" t="str">
        <f t="shared" si="0"/>
        <v>update unidad set gobernada = 1, fechagobernada = '2024-10-31' where name = 'C-39';</v>
      </c>
    </row>
    <row r="10" spans="1:6" x14ac:dyDescent="0.3">
      <c r="A10" t="s">
        <v>971</v>
      </c>
      <c r="B10" s="70" t="s">
        <v>41</v>
      </c>
      <c r="C10" s="70">
        <v>1</v>
      </c>
      <c r="D10" s="75" t="s">
        <v>980</v>
      </c>
      <c r="F10" t="str">
        <f t="shared" si="0"/>
        <v>update unidad set gobernada = 1, fechagobernada = '2024-09-20' where name = 'C-40';</v>
      </c>
    </row>
    <row r="11" spans="1:6" x14ac:dyDescent="0.3">
      <c r="A11" t="s">
        <v>972</v>
      </c>
      <c r="B11" s="70" t="s">
        <v>41</v>
      </c>
      <c r="C11" s="70">
        <v>1</v>
      </c>
      <c r="D11" s="75" t="s">
        <v>977</v>
      </c>
      <c r="F11" t="str">
        <f t="shared" si="0"/>
        <v>update unidad set gobernada = 1, fechagobernada = '2024-08-17' where name = 'C-41';</v>
      </c>
    </row>
    <row r="12" spans="1:6" x14ac:dyDescent="0.3">
      <c r="A12" t="s">
        <v>913</v>
      </c>
      <c r="B12" s="70" t="s">
        <v>33</v>
      </c>
      <c r="C12" s="70">
        <v>0</v>
      </c>
      <c r="D12" s="74" t="s">
        <v>975</v>
      </c>
      <c r="F12" t="str">
        <f t="shared" si="0"/>
        <v>update unidad set gobernada = 0, fechagobernada = null' where name = 'C-42';</v>
      </c>
    </row>
    <row r="13" spans="1:6" x14ac:dyDescent="0.3">
      <c r="A13" t="s">
        <v>914</v>
      </c>
      <c r="B13" s="70" t="s">
        <v>33</v>
      </c>
      <c r="C13" s="70">
        <v>0</v>
      </c>
      <c r="D13" s="74" t="s">
        <v>975</v>
      </c>
      <c r="F13" t="str">
        <f t="shared" si="0"/>
        <v>update unidad set gobernada = 0, fechagobernada = null' where name = 'C-43';</v>
      </c>
    </row>
    <row r="14" spans="1:6" x14ac:dyDescent="0.3">
      <c r="A14" t="s">
        <v>973</v>
      </c>
      <c r="B14" s="70" t="s">
        <v>41</v>
      </c>
      <c r="C14" s="70">
        <v>1</v>
      </c>
      <c r="D14" s="75" t="s">
        <v>981</v>
      </c>
      <c r="F14" t="str">
        <f t="shared" si="0"/>
        <v>update unidad set gobernada = 1, fechagobernada = '2024-08-13' where name = 'C-44';</v>
      </c>
    </row>
    <row r="15" spans="1:6" x14ac:dyDescent="0.3">
      <c r="A15" t="s">
        <v>974</v>
      </c>
      <c r="B15" s="70" t="s">
        <v>41</v>
      </c>
      <c r="C15" s="70">
        <v>1</v>
      </c>
      <c r="D15" s="75" t="s">
        <v>982</v>
      </c>
      <c r="F15" t="str">
        <f t="shared" si="0"/>
        <v>update unidad set gobernada = 1, fechagobernada = '2024-10-21' where name = 'C-45';</v>
      </c>
    </row>
    <row r="16" spans="1:6" x14ac:dyDescent="0.3">
      <c r="A16" t="s">
        <v>91</v>
      </c>
      <c r="B16" s="70" t="s">
        <v>41</v>
      </c>
      <c r="C16" s="70">
        <v>1</v>
      </c>
      <c r="D16" s="75" t="s">
        <v>983</v>
      </c>
      <c r="F16" t="str">
        <f t="shared" si="0"/>
        <v>update unidad set gobernada = 1, fechagobernada = '2024-08-19' where name = 'TLEA-018';</v>
      </c>
    </row>
    <row r="17" spans="1:6" x14ac:dyDescent="0.3">
      <c r="A17" t="s">
        <v>100</v>
      </c>
      <c r="B17" s="70" t="s">
        <v>33</v>
      </c>
      <c r="C17" s="70">
        <v>0</v>
      </c>
      <c r="D17" s="74" t="s">
        <v>975</v>
      </c>
      <c r="F17" t="str">
        <f t="shared" si="0"/>
        <v>update unidad set gobernada = 0, fechagobernada = null' where name = 'TLEA-021';</v>
      </c>
    </row>
    <row r="18" spans="1:6" x14ac:dyDescent="0.3">
      <c r="A18" t="s">
        <v>106</v>
      </c>
      <c r="B18" s="70" t="s">
        <v>41</v>
      </c>
      <c r="C18" s="70">
        <v>1</v>
      </c>
      <c r="D18" s="75" t="s">
        <v>984</v>
      </c>
      <c r="F18" t="str">
        <f t="shared" si="0"/>
        <v>update unidad set gobernada = 1, fechagobernada = '2024-11-14' where name = 'TLEA-025';</v>
      </c>
    </row>
    <row r="19" spans="1:6" x14ac:dyDescent="0.3">
      <c r="A19" t="s">
        <v>110</v>
      </c>
      <c r="B19" s="70" t="s">
        <v>41</v>
      </c>
      <c r="C19" s="70">
        <v>1</v>
      </c>
      <c r="D19" s="75" t="s">
        <v>985</v>
      </c>
      <c r="F19" t="str">
        <f t="shared" si="0"/>
        <v>update unidad set gobernada = 1, fechagobernada = '2024-08-16' where name = 'TLEA-027';</v>
      </c>
    </row>
    <row r="20" spans="1:6" x14ac:dyDescent="0.3">
      <c r="A20" t="s">
        <v>113</v>
      </c>
      <c r="B20" s="70" t="s">
        <v>41</v>
      </c>
      <c r="C20" s="70">
        <v>1</v>
      </c>
      <c r="D20" s="75" t="s">
        <v>986</v>
      </c>
      <c r="F20" t="str">
        <f t="shared" si="0"/>
        <v>update unidad set gobernada = 1, fechagobernada = '2024-11-13' where name = 'TLEA-028';</v>
      </c>
    </row>
    <row r="21" spans="1:6" x14ac:dyDescent="0.3">
      <c r="A21" t="s">
        <v>116</v>
      </c>
      <c r="B21" s="70" t="s">
        <v>33</v>
      </c>
      <c r="C21" s="70">
        <v>0</v>
      </c>
      <c r="D21" s="74" t="s">
        <v>975</v>
      </c>
      <c r="F21" t="str">
        <f t="shared" si="0"/>
        <v>update unidad set gobernada = 0, fechagobernada = null' where name = 'TLEA-030';</v>
      </c>
    </row>
    <row r="22" spans="1:6" x14ac:dyDescent="0.3">
      <c r="A22" t="s">
        <v>119</v>
      </c>
      <c r="B22" s="70" t="s">
        <v>41</v>
      </c>
      <c r="C22" s="70">
        <v>1</v>
      </c>
      <c r="D22" s="75" t="s">
        <v>978</v>
      </c>
      <c r="F22" t="str">
        <f t="shared" si="0"/>
        <v>update unidad set gobernada = 1, fechagobernada = '2024-10-07' where name = 'TLEA-031';</v>
      </c>
    </row>
    <row r="23" spans="1:6" x14ac:dyDescent="0.3">
      <c r="A23" t="s">
        <v>123</v>
      </c>
      <c r="B23" s="70" t="s">
        <v>33</v>
      </c>
      <c r="C23" s="70">
        <v>0</v>
      </c>
      <c r="D23" s="74" t="s">
        <v>975</v>
      </c>
      <c r="F23" t="str">
        <f t="shared" si="0"/>
        <v>update unidad set gobernada = 0, fechagobernada = null' where name = 'TLEA-037';</v>
      </c>
    </row>
    <row r="24" spans="1:6" x14ac:dyDescent="0.3">
      <c r="A24" t="s">
        <v>126</v>
      </c>
      <c r="B24" s="70" t="s">
        <v>41</v>
      </c>
      <c r="C24" s="70">
        <v>1</v>
      </c>
      <c r="D24" s="75" t="s">
        <v>987</v>
      </c>
      <c r="F24" t="str">
        <f t="shared" si="0"/>
        <v>update unidad set gobernada = 1, fechagobernada = '2024-10-23' where name = 'TLEA-038';</v>
      </c>
    </row>
    <row r="25" spans="1:6" x14ac:dyDescent="0.3">
      <c r="A25" t="s">
        <v>129</v>
      </c>
      <c r="B25" s="70" t="s">
        <v>41</v>
      </c>
      <c r="C25" s="70">
        <v>1</v>
      </c>
      <c r="D25" s="75" t="s">
        <v>984</v>
      </c>
      <c r="F25" t="str">
        <f t="shared" si="0"/>
        <v>update unidad set gobernada = 1, fechagobernada = '2024-11-14' where name = 'TLEA-041';</v>
      </c>
    </row>
    <row r="26" spans="1:6" x14ac:dyDescent="0.3">
      <c r="A26" t="s">
        <v>135</v>
      </c>
      <c r="B26" s="70" t="s">
        <v>41</v>
      </c>
      <c r="C26" s="70">
        <v>1</v>
      </c>
      <c r="D26" s="75" t="s">
        <v>978</v>
      </c>
      <c r="F26" t="str">
        <f t="shared" si="0"/>
        <v>update unidad set gobernada = 1, fechagobernada = '2024-10-07' where name = 'TLEA-042';</v>
      </c>
    </row>
    <row r="27" spans="1:6" x14ac:dyDescent="0.3">
      <c r="A27" t="s">
        <v>139</v>
      </c>
      <c r="B27" s="70" t="s">
        <v>33</v>
      </c>
      <c r="C27" s="70">
        <v>0</v>
      </c>
      <c r="D27" s="74" t="s">
        <v>975</v>
      </c>
      <c r="F27" t="str">
        <f t="shared" si="0"/>
        <v>update unidad set gobernada = 0, fechagobernada = null' where name = 'TLEA-043';</v>
      </c>
    </row>
    <row r="28" spans="1:6" x14ac:dyDescent="0.3">
      <c r="A28" t="s">
        <v>142</v>
      </c>
      <c r="B28" s="70" t="s">
        <v>33</v>
      </c>
      <c r="C28" s="70">
        <v>0</v>
      </c>
      <c r="D28" s="74" t="s">
        <v>975</v>
      </c>
      <c r="F28" t="str">
        <f t="shared" si="0"/>
        <v>update unidad set gobernada = 0, fechagobernada = null' where name = 'TLEA-044';</v>
      </c>
    </row>
    <row r="29" spans="1:6" x14ac:dyDescent="0.3">
      <c r="A29" t="s">
        <v>145</v>
      </c>
      <c r="B29" s="70" t="s">
        <v>33</v>
      </c>
      <c r="C29" s="70">
        <v>0</v>
      </c>
      <c r="D29" s="74" t="s">
        <v>975</v>
      </c>
      <c r="F29" t="str">
        <f t="shared" si="0"/>
        <v>update unidad set gobernada = 0, fechagobernada = null' where name = 'TLEA-046';</v>
      </c>
    </row>
    <row r="30" spans="1:6" x14ac:dyDescent="0.3">
      <c r="A30" t="s">
        <v>150</v>
      </c>
      <c r="B30" s="70" t="s">
        <v>33</v>
      </c>
      <c r="C30" s="70">
        <v>0</v>
      </c>
      <c r="D30" s="74" t="s">
        <v>975</v>
      </c>
      <c r="F30" t="str">
        <f t="shared" si="0"/>
        <v>update unidad set gobernada = 0, fechagobernada = null' where name = 'TLEA-047';</v>
      </c>
    </row>
    <row r="31" spans="1:6" x14ac:dyDescent="0.3">
      <c r="A31" t="s">
        <v>153</v>
      </c>
      <c r="B31" s="70" t="s">
        <v>33</v>
      </c>
      <c r="C31" s="70">
        <v>0</v>
      </c>
      <c r="D31" s="74" t="s">
        <v>975</v>
      </c>
      <c r="F31" t="str">
        <f t="shared" si="0"/>
        <v>update unidad set gobernada = 0, fechagobernada = null' where name = 'TLEA-048';</v>
      </c>
    </row>
    <row r="32" spans="1:6" x14ac:dyDescent="0.3">
      <c r="A32" t="s">
        <v>156</v>
      </c>
      <c r="B32" s="70" t="s">
        <v>33</v>
      </c>
      <c r="C32" s="70">
        <v>0</v>
      </c>
      <c r="D32" s="74" t="s">
        <v>975</v>
      </c>
      <c r="F32" t="str">
        <f t="shared" si="0"/>
        <v>update unidad set gobernada = 0, fechagobernada = null' where name = 'TLEA-049';</v>
      </c>
    </row>
    <row r="33" spans="1:6" x14ac:dyDescent="0.3">
      <c r="A33" t="s">
        <v>159</v>
      </c>
      <c r="B33" s="70" t="s">
        <v>41</v>
      </c>
      <c r="C33" s="70">
        <v>1</v>
      </c>
      <c r="D33" s="75" t="s">
        <v>978</v>
      </c>
      <c r="F33" t="str">
        <f t="shared" si="0"/>
        <v>update unidad set gobernada = 1, fechagobernada = '2024-10-07' where name = 'TLEA-050';</v>
      </c>
    </row>
    <row r="34" spans="1:6" x14ac:dyDescent="0.3">
      <c r="A34" t="s">
        <v>162</v>
      </c>
      <c r="B34" s="70" t="s">
        <v>33</v>
      </c>
      <c r="C34" s="70">
        <v>0</v>
      </c>
      <c r="D34" s="74" t="s">
        <v>975</v>
      </c>
      <c r="F34" t="str">
        <f t="shared" si="0"/>
        <v>update unidad set gobernada = 0, fechagobernada = null' where name = 'TLEA-054';</v>
      </c>
    </row>
    <row r="35" spans="1:6" x14ac:dyDescent="0.3">
      <c r="A35" t="s">
        <v>165</v>
      </c>
      <c r="B35" s="70" t="s">
        <v>33</v>
      </c>
      <c r="C35" s="70">
        <v>0</v>
      </c>
      <c r="D35" s="74" t="s">
        <v>975</v>
      </c>
      <c r="F35" t="str">
        <f t="shared" si="0"/>
        <v>update unidad set gobernada = 0, fechagobernada = null' where name = 'TLEA-055';</v>
      </c>
    </row>
    <row r="36" spans="1:6" x14ac:dyDescent="0.3">
      <c r="A36" t="s">
        <v>168</v>
      </c>
      <c r="B36" s="70" t="s">
        <v>41</v>
      </c>
      <c r="C36" s="70">
        <v>1</v>
      </c>
      <c r="D36" s="75" t="s">
        <v>988</v>
      </c>
      <c r="F36" t="str">
        <f t="shared" si="0"/>
        <v>update unidad set gobernada = 1, fechagobernada = '2024-08-21' where name = 'TLEA-057';</v>
      </c>
    </row>
    <row r="37" spans="1:6" x14ac:dyDescent="0.3">
      <c r="A37" t="s">
        <v>171</v>
      </c>
      <c r="B37" s="70" t="s">
        <v>33</v>
      </c>
      <c r="C37" s="70">
        <v>0</v>
      </c>
      <c r="D37" s="74" t="s">
        <v>975</v>
      </c>
      <c r="F37" t="str">
        <f t="shared" si="0"/>
        <v>update unidad set gobernada = 0, fechagobernada = null' where name = 'TLEA-058';</v>
      </c>
    </row>
    <row r="38" spans="1:6" x14ac:dyDescent="0.3">
      <c r="A38" t="s">
        <v>174</v>
      </c>
      <c r="B38" s="70" t="s">
        <v>33</v>
      </c>
      <c r="C38" s="70">
        <v>0</v>
      </c>
      <c r="D38" s="74" t="s">
        <v>975</v>
      </c>
      <c r="F38" t="str">
        <f t="shared" si="0"/>
        <v>update unidad set gobernada = 0, fechagobernada = null' where name = 'TLEA-060';</v>
      </c>
    </row>
    <row r="39" spans="1:6" x14ac:dyDescent="0.3">
      <c r="A39" t="s">
        <v>177</v>
      </c>
      <c r="B39" s="70" t="s">
        <v>33</v>
      </c>
      <c r="C39" s="70">
        <v>0</v>
      </c>
      <c r="D39" s="74" t="s">
        <v>975</v>
      </c>
      <c r="F39" t="str">
        <f t="shared" si="0"/>
        <v>update unidad set gobernada = 0, fechagobernada = null' where name = 'TLEA-061';</v>
      </c>
    </row>
    <row r="40" spans="1:6" x14ac:dyDescent="0.3">
      <c r="A40" t="s">
        <v>180</v>
      </c>
      <c r="B40" s="70" t="s">
        <v>33</v>
      </c>
      <c r="C40" s="70">
        <v>0</v>
      </c>
      <c r="D40" s="74" t="s">
        <v>975</v>
      </c>
      <c r="F40" t="str">
        <f t="shared" si="0"/>
        <v>update unidad set gobernada = 0, fechagobernada = null' where name = 'TLEA-062';</v>
      </c>
    </row>
    <row r="41" spans="1:6" x14ac:dyDescent="0.3">
      <c r="A41" t="s">
        <v>183</v>
      </c>
      <c r="B41" s="70" t="s">
        <v>33</v>
      </c>
      <c r="C41" s="70">
        <v>0</v>
      </c>
      <c r="D41" s="74" t="s">
        <v>975</v>
      </c>
      <c r="F41" t="str">
        <f t="shared" si="0"/>
        <v>update unidad set gobernada = 0, fechagobernada = null' where name = 'TLEA-063';</v>
      </c>
    </row>
    <row r="42" spans="1:6" x14ac:dyDescent="0.3">
      <c r="A42" t="s">
        <v>186</v>
      </c>
      <c r="B42" s="70" t="s">
        <v>33</v>
      </c>
      <c r="C42" s="70">
        <v>0</v>
      </c>
      <c r="D42" s="74" t="s">
        <v>975</v>
      </c>
      <c r="F42" t="str">
        <f t="shared" si="0"/>
        <v>update unidad set gobernada = 0, fechagobernada = null' where name = 'TLEA-064';</v>
      </c>
    </row>
    <row r="43" spans="1:6" x14ac:dyDescent="0.3">
      <c r="A43" t="s">
        <v>189</v>
      </c>
      <c r="B43" s="70" t="s">
        <v>33</v>
      </c>
      <c r="C43" s="70">
        <v>0</v>
      </c>
      <c r="D43" s="74" t="s">
        <v>975</v>
      </c>
      <c r="F43" t="str">
        <f t="shared" si="0"/>
        <v>update unidad set gobernada = 0, fechagobernada = null' where name = 'TLEA-065';</v>
      </c>
    </row>
    <row r="44" spans="1:6" x14ac:dyDescent="0.3">
      <c r="A44" t="s">
        <v>192</v>
      </c>
      <c r="B44" s="70" t="s">
        <v>41</v>
      </c>
      <c r="C44" s="70">
        <v>1</v>
      </c>
      <c r="D44" s="75" t="s">
        <v>989</v>
      </c>
      <c r="F44" t="str">
        <f t="shared" si="0"/>
        <v>update unidad set gobernada = 1, fechagobernada = '2024-11-19' where name = 'TLEA-066';</v>
      </c>
    </row>
    <row r="45" spans="1:6" x14ac:dyDescent="0.3">
      <c r="A45" t="s">
        <v>195</v>
      </c>
      <c r="B45" s="70" t="s">
        <v>33</v>
      </c>
      <c r="C45" s="70">
        <v>0</v>
      </c>
      <c r="D45" s="74" t="s">
        <v>975</v>
      </c>
      <c r="F45" t="str">
        <f t="shared" si="0"/>
        <v>update unidad set gobernada = 0, fechagobernada = null' where name = 'TLEA-067';</v>
      </c>
    </row>
    <row r="46" spans="1:6" x14ac:dyDescent="0.3">
      <c r="A46" t="s">
        <v>198</v>
      </c>
      <c r="B46" s="70" t="s">
        <v>33</v>
      </c>
      <c r="C46" s="70">
        <v>0</v>
      </c>
      <c r="D46" s="74" t="s">
        <v>975</v>
      </c>
      <c r="F46" t="str">
        <f t="shared" si="0"/>
        <v>update unidad set gobernada = 0, fechagobernada = null' where name = 'TLEA-071';</v>
      </c>
    </row>
    <row r="47" spans="1:6" x14ac:dyDescent="0.3">
      <c r="A47" t="s">
        <v>204</v>
      </c>
      <c r="B47" s="70" t="s">
        <v>33</v>
      </c>
      <c r="C47" s="70">
        <v>0</v>
      </c>
      <c r="D47" s="74" t="s">
        <v>975</v>
      </c>
      <c r="F47" t="str">
        <f t="shared" si="0"/>
        <v>update unidad set gobernada = 0, fechagobernada = null' where name = 'TLEA-075';</v>
      </c>
    </row>
    <row r="48" spans="1:6" x14ac:dyDescent="0.3">
      <c r="A48" t="s">
        <v>207</v>
      </c>
      <c r="B48" s="70" t="s">
        <v>33</v>
      </c>
      <c r="C48" s="70">
        <v>0</v>
      </c>
      <c r="D48" s="74" t="s">
        <v>975</v>
      </c>
      <c r="F48" t="str">
        <f t="shared" si="0"/>
        <v>update unidad set gobernada = 0, fechagobernada = null' where name = 'TLEA-076';</v>
      </c>
    </row>
    <row r="49" spans="1:6" x14ac:dyDescent="0.3">
      <c r="A49" t="s">
        <v>210</v>
      </c>
      <c r="B49" s="70" t="s">
        <v>33</v>
      </c>
      <c r="C49" s="70">
        <v>0</v>
      </c>
      <c r="D49" s="74" t="s">
        <v>975</v>
      </c>
      <c r="F49" t="str">
        <f t="shared" si="0"/>
        <v>update unidad set gobernada = 0, fechagobernada = null' where name = 'TLEA-077';</v>
      </c>
    </row>
    <row r="50" spans="1:6" x14ac:dyDescent="0.3">
      <c r="A50" t="s">
        <v>213</v>
      </c>
      <c r="B50" s="70" t="s">
        <v>33</v>
      </c>
      <c r="C50" s="70">
        <v>0</v>
      </c>
      <c r="D50" s="74" t="s">
        <v>975</v>
      </c>
      <c r="F50" t="str">
        <f t="shared" si="0"/>
        <v>update unidad set gobernada = 0, fechagobernada = null' where name = 'TLEA-078';</v>
      </c>
    </row>
    <row r="51" spans="1:6" x14ac:dyDescent="0.3">
      <c r="A51" t="s">
        <v>216</v>
      </c>
      <c r="B51" s="70" t="s">
        <v>33</v>
      </c>
      <c r="C51" s="70">
        <v>0</v>
      </c>
      <c r="D51" s="74" t="s">
        <v>975</v>
      </c>
      <c r="F51" t="str">
        <f t="shared" si="0"/>
        <v>update unidad set gobernada = 0, fechagobernada = null' where name = 'TLEA-080';</v>
      </c>
    </row>
    <row r="52" spans="1:6" x14ac:dyDescent="0.3">
      <c r="A52" t="s">
        <v>219</v>
      </c>
      <c r="B52" s="70" t="s">
        <v>41</v>
      </c>
      <c r="C52" s="70">
        <v>1</v>
      </c>
      <c r="D52" s="75" t="s">
        <v>978</v>
      </c>
      <c r="F52" t="str">
        <f t="shared" si="0"/>
        <v>update unidad set gobernada = 1, fechagobernada = '2024-10-07' where name = 'TLEA-081';</v>
      </c>
    </row>
    <row r="53" spans="1:6" x14ac:dyDescent="0.3">
      <c r="A53" t="s">
        <v>222</v>
      </c>
      <c r="B53" s="70" t="s">
        <v>41</v>
      </c>
      <c r="C53" s="70">
        <v>1</v>
      </c>
      <c r="D53" s="75" t="s">
        <v>986</v>
      </c>
      <c r="F53" t="str">
        <f t="shared" si="0"/>
        <v>update unidad set gobernada = 1, fechagobernada = '2024-11-13' where name = 'TLEA-082';</v>
      </c>
    </row>
    <row r="54" spans="1:6" x14ac:dyDescent="0.3">
      <c r="A54" t="s">
        <v>225</v>
      </c>
      <c r="B54" s="70" t="s">
        <v>41</v>
      </c>
      <c r="C54" s="70">
        <v>1</v>
      </c>
      <c r="D54" s="75" t="s">
        <v>990</v>
      </c>
      <c r="F54" t="str">
        <f t="shared" si="0"/>
        <v>update unidad set gobernada = 1, fechagobernada = '2024-08-09' where name = 'TLEA-083';</v>
      </c>
    </row>
    <row r="55" spans="1:6" x14ac:dyDescent="0.3">
      <c r="A55" t="s">
        <v>228</v>
      </c>
      <c r="B55" s="70" t="s">
        <v>33</v>
      </c>
      <c r="C55" s="70">
        <v>0</v>
      </c>
      <c r="D55" s="74" t="s">
        <v>975</v>
      </c>
      <c r="F55" t="str">
        <f t="shared" si="0"/>
        <v>update unidad set gobernada = 0, fechagobernada = null' where name = 'TLEA-085';</v>
      </c>
    </row>
    <row r="56" spans="1:6" x14ac:dyDescent="0.3">
      <c r="A56" t="s">
        <v>231</v>
      </c>
      <c r="B56" s="70" t="s">
        <v>33</v>
      </c>
      <c r="C56" s="70">
        <v>0</v>
      </c>
      <c r="D56" s="74" t="s">
        <v>975</v>
      </c>
      <c r="F56" t="str">
        <f t="shared" si="0"/>
        <v>update unidad set gobernada = 0, fechagobernada = null' where name = 'TLEA-086';</v>
      </c>
    </row>
    <row r="57" spans="1:6" x14ac:dyDescent="0.3">
      <c r="A57" t="s">
        <v>234</v>
      </c>
      <c r="B57" s="70" t="s">
        <v>41</v>
      </c>
      <c r="C57" s="70">
        <v>1</v>
      </c>
      <c r="D57" s="75" t="s">
        <v>991</v>
      </c>
      <c r="F57" t="str">
        <f t="shared" si="0"/>
        <v>update unidad set gobernada = 1, fechagobernada = '2024-11-15' where name = 'TLEA-087';</v>
      </c>
    </row>
    <row r="58" spans="1:6" x14ac:dyDescent="0.3">
      <c r="A58" t="s">
        <v>237</v>
      </c>
      <c r="B58" s="70" t="s">
        <v>41</v>
      </c>
      <c r="C58" s="70">
        <v>1</v>
      </c>
      <c r="D58" s="75" t="s">
        <v>992</v>
      </c>
      <c r="F58" t="str">
        <f t="shared" si="0"/>
        <v>update unidad set gobernada = 1, fechagobernada = '2024-08-23' where name = 'TLEA-090';</v>
      </c>
    </row>
    <row r="59" spans="1:6" x14ac:dyDescent="0.3">
      <c r="A59" t="s">
        <v>240</v>
      </c>
      <c r="B59" s="70" t="s">
        <v>41</v>
      </c>
      <c r="C59" s="70">
        <v>1</v>
      </c>
      <c r="D59" s="75" t="s">
        <v>993</v>
      </c>
      <c r="F59" t="str">
        <f t="shared" si="0"/>
        <v>update unidad set gobernada = 1, fechagobernada = '2024-10-24' where name = 'TLEA-093';</v>
      </c>
    </row>
    <row r="60" spans="1:6" x14ac:dyDescent="0.3">
      <c r="A60" t="s">
        <v>243</v>
      </c>
      <c r="B60" s="70" t="s">
        <v>33</v>
      </c>
      <c r="C60" s="70">
        <v>0</v>
      </c>
      <c r="D60" s="74" t="s">
        <v>975</v>
      </c>
      <c r="F60" t="str">
        <f t="shared" si="0"/>
        <v>update unidad set gobernada = 0, fechagobernada = null' where name = 'TLEA-106';</v>
      </c>
    </row>
    <row r="61" spans="1:6" x14ac:dyDescent="0.3">
      <c r="A61" t="s">
        <v>246</v>
      </c>
      <c r="B61" s="70" t="s">
        <v>33</v>
      </c>
      <c r="C61" s="70">
        <v>0</v>
      </c>
      <c r="D61" s="74" t="s">
        <v>975</v>
      </c>
      <c r="F61" t="str">
        <f t="shared" si="0"/>
        <v>update unidad set gobernada = 0, fechagobernada = null' where name = 'TLEA-108';</v>
      </c>
    </row>
    <row r="62" spans="1:6" x14ac:dyDescent="0.3">
      <c r="A62" t="s">
        <v>249</v>
      </c>
      <c r="B62" s="70" t="s">
        <v>33</v>
      </c>
      <c r="C62" s="70">
        <v>0</v>
      </c>
      <c r="D62" s="74" t="s">
        <v>975</v>
      </c>
      <c r="F62" t="str">
        <f t="shared" si="0"/>
        <v>update unidad set gobernada = 0, fechagobernada = null' where name = 'TLEA-112';</v>
      </c>
    </row>
    <row r="63" spans="1:6" x14ac:dyDescent="0.3">
      <c r="A63" t="s">
        <v>252</v>
      </c>
      <c r="B63" s="70" t="s">
        <v>33</v>
      </c>
      <c r="C63" s="70">
        <v>0</v>
      </c>
      <c r="D63" s="74" t="s">
        <v>975</v>
      </c>
      <c r="F63" t="str">
        <f t="shared" si="0"/>
        <v>update unidad set gobernada = 0, fechagobernada = null' where name = 'TLEA-115';</v>
      </c>
    </row>
    <row r="64" spans="1:6" x14ac:dyDescent="0.3">
      <c r="A64" t="s">
        <v>256</v>
      </c>
      <c r="B64" s="70" t="s">
        <v>33</v>
      </c>
      <c r="C64" s="70">
        <v>0</v>
      </c>
      <c r="D64" s="74" t="s">
        <v>975</v>
      </c>
      <c r="F64" t="str">
        <f t="shared" si="0"/>
        <v>update unidad set gobernada = 0, fechagobernada = null' where name = 'TLEA-116';</v>
      </c>
    </row>
    <row r="65" spans="1:6" x14ac:dyDescent="0.3">
      <c r="A65" t="s">
        <v>259</v>
      </c>
      <c r="B65" s="70" t="s">
        <v>41</v>
      </c>
      <c r="C65" s="70">
        <v>1</v>
      </c>
      <c r="D65" s="75" t="s">
        <v>991</v>
      </c>
      <c r="F65" t="str">
        <f t="shared" si="0"/>
        <v>update unidad set gobernada = 1, fechagobernada = '2024-11-15' where name = 'TLEA-117';</v>
      </c>
    </row>
    <row r="66" spans="1:6" x14ac:dyDescent="0.3">
      <c r="A66" t="s">
        <v>262</v>
      </c>
      <c r="B66" s="70" t="s">
        <v>33</v>
      </c>
      <c r="C66" s="70">
        <v>0</v>
      </c>
      <c r="D66" s="74" t="s">
        <v>975</v>
      </c>
      <c r="F66" t="str">
        <f t="shared" si="0"/>
        <v>update unidad set gobernada = 0, fechagobernada = null' where name = 'TLEA-118';</v>
      </c>
    </row>
    <row r="67" spans="1:6" x14ac:dyDescent="0.3">
      <c r="A67" t="s">
        <v>265</v>
      </c>
      <c r="B67" s="70" t="s">
        <v>33</v>
      </c>
      <c r="C67" s="70">
        <v>0</v>
      </c>
      <c r="D67" s="74" t="s">
        <v>975</v>
      </c>
      <c r="F67" t="str">
        <f t="shared" ref="F67:F130" si="1">CONCATENATE("update unidad set gobernada = ", C67,", fechagobernada = ",D67,"' where name = '",A67,"';")</f>
        <v>update unidad set gobernada = 0, fechagobernada = null' where name = 'TLEA-119';</v>
      </c>
    </row>
    <row r="68" spans="1:6" x14ac:dyDescent="0.3">
      <c r="A68" t="s">
        <v>268</v>
      </c>
      <c r="B68" s="70" t="s">
        <v>33</v>
      </c>
      <c r="C68" s="70">
        <v>0</v>
      </c>
      <c r="D68" s="74" t="s">
        <v>975</v>
      </c>
      <c r="F68" t="str">
        <f t="shared" si="1"/>
        <v>update unidad set gobernada = 0, fechagobernada = null' where name = 'TLEA-120';</v>
      </c>
    </row>
    <row r="69" spans="1:6" x14ac:dyDescent="0.3">
      <c r="A69" t="s">
        <v>271</v>
      </c>
      <c r="B69" s="70" t="s">
        <v>33</v>
      </c>
      <c r="C69" s="70">
        <v>0</v>
      </c>
      <c r="D69" s="74" t="s">
        <v>975</v>
      </c>
      <c r="F69" t="str">
        <f t="shared" si="1"/>
        <v>update unidad set gobernada = 0, fechagobernada = null' where name = 'TLEA-121';</v>
      </c>
    </row>
    <row r="70" spans="1:6" x14ac:dyDescent="0.3">
      <c r="A70" t="s">
        <v>274</v>
      </c>
      <c r="B70" s="70" t="s">
        <v>41</v>
      </c>
      <c r="C70" s="70">
        <v>1</v>
      </c>
      <c r="D70" s="75" t="s">
        <v>984</v>
      </c>
      <c r="F70" t="str">
        <f t="shared" si="1"/>
        <v>update unidad set gobernada = 1, fechagobernada = '2024-11-14' where name = 'TLEA-122';</v>
      </c>
    </row>
    <row r="71" spans="1:6" x14ac:dyDescent="0.3">
      <c r="A71" t="s">
        <v>277</v>
      </c>
      <c r="B71" s="70" t="s">
        <v>41</v>
      </c>
      <c r="C71" s="70">
        <v>1</v>
      </c>
      <c r="D71" s="75" t="s">
        <v>994</v>
      </c>
      <c r="F71" t="str">
        <f t="shared" si="1"/>
        <v>update unidad set gobernada = 1, fechagobernada = '2024-08-14' where name = 'TLEA-123';</v>
      </c>
    </row>
    <row r="72" spans="1:6" x14ac:dyDescent="0.3">
      <c r="A72" t="s">
        <v>280</v>
      </c>
      <c r="B72" s="70" t="s">
        <v>41</v>
      </c>
      <c r="C72" s="70">
        <v>1</v>
      </c>
      <c r="D72" s="75" t="s">
        <v>986</v>
      </c>
      <c r="F72" t="str">
        <f t="shared" si="1"/>
        <v>update unidad set gobernada = 1, fechagobernada = '2024-11-13' where name = 'TLEA-124';</v>
      </c>
    </row>
    <row r="73" spans="1:6" x14ac:dyDescent="0.3">
      <c r="A73" t="s">
        <v>283</v>
      </c>
      <c r="B73" s="70" t="s">
        <v>41</v>
      </c>
      <c r="C73" s="70">
        <v>1</v>
      </c>
      <c r="D73" s="75" t="s">
        <v>984</v>
      </c>
      <c r="F73" t="str">
        <f t="shared" si="1"/>
        <v>update unidad set gobernada = 1, fechagobernada = '2024-11-14' where name = 'TLEA-125';</v>
      </c>
    </row>
    <row r="74" spans="1:6" x14ac:dyDescent="0.3">
      <c r="A74" t="s">
        <v>286</v>
      </c>
      <c r="B74" s="70" t="s">
        <v>41</v>
      </c>
      <c r="C74" s="70">
        <v>1</v>
      </c>
      <c r="D74" s="75" t="s">
        <v>978</v>
      </c>
      <c r="F74" t="str">
        <f t="shared" si="1"/>
        <v>update unidad set gobernada = 1, fechagobernada = '2024-10-07' where name = 'TLEA-126';</v>
      </c>
    </row>
    <row r="75" spans="1:6" x14ac:dyDescent="0.3">
      <c r="A75" t="s">
        <v>289</v>
      </c>
      <c r="B75" s="70" t="s">
        <v>33</v>
      </c>
      <c r="C75" s="70">
        <v>0</v>
      </c>
      <c r="D75" s="74" t="s">
        <v>975</v>
      </c>
      <c r="F75" t="str">
        <f t="shared" si="1"/>
        <v>update unidad set gobernada = 0, fechagobernada = null' where name = 'TLEA-127';</v>
      </c>
    </row>
    <row r="76" spans="1:6" x14ac:dyDescent="0.3">
      <c r="A76" t="s">
        <v>292</v>
      </c>
      <c r="B76" s="70" t="s">
        <v>41</v>
      </c>
      <c r="C76" s="70">
        <v>1</v>
      </c>
      <c r="D76" s="75" t="s">
        <v>987</v>
      </c>
      <c r="F76" t="str">
        <f t="shared" si="1"/>
        <v>update unidad set gobernada = 1, fechagobernada = '2024-10-23' where name = 'TLEA-128';</v>
      </c>
    </row>
    <row r="77" spans="1:6" x14ac:dyDescent="0.3">
      <c r="A77" t="s">
        <v>295</v>
      </c>
      <c r="B77" s="70" t="s">
        <v>33</v>
      </c>
      <c r="C77" s="70">
        <v>0</v>
      </c>
      <c r="D77" s="74" t="s">
        <v>975</v>
      </c>
      <c r="F77" t="str">
        <f t="shared" si="1"/>
        <v>update unidad set gobernada = 0, fechagobernada = null' where name = 'TLEA-129';</v>
      </c>
    </row>
    <row r="78" spans="1:6" x14ac:dyDescent="0.3">
      <c r="A78" t="s">
        <v>298</v>
      </c>
      <c r="B78" s="70" t="s">
        <v>33</v>
      </c>
      <c r="C78" s="70">
        <v>0</v>
      </c>
      <c r="D78" s="74" t="s">
        <v>975</v>
      </c>
      <c r="F78" t="str">
        <f t="shared" si="1"/>
        <v>update unidad set gobernada = 0, fechagobernada = null' where name = 'TLEA-130';</v>
      </c>
    </row>
    <row r="79" spans="1:6" x14ac:dyDescent="0.3">
      <c r="A79" t="s">
        <v>301</v>
      </c>
      <c r="B79" s="70" t="s">
        <v>41</v>
      </c>
      <c r="C79" s="70">
        <v>1</v>
      </c>
      <c r="D79" s="75" t="s">
        <v>995</v>
      </c>
      <c r="F79" t="str">
        <f t="shared" si="1"/>
        <v>update unidad set gobernada = 1, fechagobernada = '2024-10-22' where name = 'TLEA-131';</v>
      </c>
    </row>
    <row r="80" spans="1:6" x14ac:dyDescent="0.3">
      <c r="A80" t="s">
        <v>304</v>
      </c>
      <c r="B80" s="70" t="s">
        <v>33</v>
      </c>
      <c r="C80" s="70">
        <v>0</v>
      </c>
      <c r="D80" s="74" t="s">
        <v>975</v>
      </c>
      <c r="F80" t="str">
        <f t="shared" si="1"/>
        <v>update unidad set gobernada = 0, fechagobernada = null' where name = 'TLEA-132';</v>
      </c>
    </row>
    <row r="81" spans="1:6" x14ac:dyDescent="0.3">
      <c r="A81" t="s">
        <v>309</v>
      </c>
      <c r="B81" s="70" t="s">
        <v>41</v>
      </c>
      <c r="C81" s="70">
        <v>1</v>
      </c>
      <c r="D81" s="75" t="s">
        <v>984</v>
      </c>
      <c r="F81" t="str">
        <f t="shared" si="1"/>
        <v>update unidad set gobernada = 1, fechagobernada = '2024-11-14' where name = 'TLEA-133';</v>
      </c>
    </row>
    <row r="82" spans="1:6" x14ac:dyDescent="0.3">
      <c r="A82" t="s">
        <v>312</v>
      </c>
      <c r="B82" s="70" t="s">
        <v>41</v>
      </c>
      <c r="C82" s="70">
        <v>1</v>
      </c>
      <c r="D82" s="75" t="s">
        <v>978</v>
      </c>
      <c r="F82" t="str">
        <f t="shared" si="1"/>
        <v>update unidad set gobernada = 1, fechagobernada = '2024-10-07' where name = 'TLEA-134';</v>
      </c>
    </row>
    <row r="83" spans="1:6" x14ac:dyDescent="0.3">
      <c r="A83" t="s">
        <v>315</v>
      </c>
      <c r="B83" s="70" t="s">
        <v>41</v>
      </c>
      <c r="C83" s="70">
        <v>1</v>
      </c>
      <c r="D83" s="75" t="s">
        <v>984</v>
      </c>
      <c r="F83" t="str">
        <f t="shared" si="1"/>
        <v>update unidad set gobernada = 1, fechagobernada = '2024-11-14' where name = 'TLEA-135';</v>
      </c>
    </row>
    <row r="84" spans="1:6" x14ac:dyDescent="0.3">
      <c r="A84" t="s">
        <v>318</v>
      </c>
      <c r="B84" s="70" t="s">
        <v>41</v>
      </c>
      <c r="C84" s="70">
        <v>1</v>
      </c>
      <c r="D84" s="75" t="s">
        <v>996</v>
      </c>
      <c r="F84" t="str">
        <f t="shared" si="1"/>
        <v>update unidad set gobernada = 1, fechagobernada = '2024-09-17' where name = 'TLEA-136';</v>
      </c>
    </row>
    <row r="85" spans="1:6" x14ac:dyDescent="0.3">
      <c r="A85" t="s">
        <v>321</v>
      </c>
      <c r="B85" s="70" t="s">
        <v>41</v>
      </c>
      <c r="C85" s="70">
        <v>1</v>
      </c>
      <c r="D85" s="75" t="s">
        <v>991</v>
      </c>
      <c r="F85" t="str">
        <f t="shared" si="1"/>
        <v>update unidad set gobernada = 1, fechagobernada = '2024-11-15' where name = 'TLEA-137';</v>
      </c>
    </row>
    <row r="86" spans="1:6" x14ac:dyDescent="0.3">
      <c r="A86" t="s">
        <v>324</v>
      </c>
      <c r="B86" s="70" t="s">
        <v>41</v>
      </c>
      <c r="C86" s="70">
        <v>1</v>
      </c>
      <c r="D86" s="75" t="s">
        <v>997</v>
      </c>
      <c r="F86" t="str">
        <f t="shared" si="1"/>
        <v>update unidad set gobernada = 1, fechagobernada = '2024-11-02' where name = 'TLEA-138';</v>
      </c>
    </row>
    <row r="87" spans="1:6" x14ac:dyDescent="0.3">
      <c r="A87" t="s">
        <v>327</v>
      </c>
      <c r="B87" s="70" t="s">
        <v>33</v>
      </c>
      <c r="C87" s="70">
        <v>0</v>
      </c>
      <c r="D87" s="74" t="s">
        <v>975</v>
      </c>
      <c r="F87" t="str">
        <f t="shared" si="1"/>
        <v>update unidad set gobernada = 0, fechagobernada = null' where name = 'TLEA-139';</v>
      </c>
    </row>
    <row r="88" spans="1:6" x14ac:dyDescent="0.3">
      <c r="A88" t="s">
        <v>331</v>
      </c>
      <c r="B88" s="70" t="s">
        <v>41</v>
      </c>
      <c r="C88" s="70">
        <v>1</v>
      </c>
      <c r="D88" s="75" t="s">
        <v>991</v>
      </c>
      <c r="F88" t="str">
        <f t="shared" si="1"/>
        <v>update unidad set gobernada = 1, fechagobernada = '2024-11-15' where name = 'TLEA-140';</v>
      </c>
    </row>
    <row r="89" spans="1:6" x14ac:dyDescent="0.3">
      <c r="A89" t="s">
        <v>334</v>
      </c>
      <c r="B89" s="70" t="s">
        <v>33</v>
      </c>
      <c r="C89" s="70">
        <v>0</v>
      </c>
      <c r="D89" s="74" t="s">
        <v>975</v>
      </c>
      <c r="F89" t="str">
        <f t="shared" si="1"/>
        <v>update unidad set gobernada = 0, fechagobernada = null' where name = 'TLEA-141';</v>
      </c>
    </row>
    <row r="90" spans="1:6" x14ac:dyDescent="0.3">
      <c r="A90" t="s">
        <v>337</v>
      </c>
      <c r="B90" s="70" t="s">
        <v>41</v>
      </c>
      <c r="C90" s="70">
        <v>1</v>
      </c>
      <c r="D90" s="75" t="s">
        <v>998</v>
      </c>
      <c r="F90" t="str">
        <f t="shared" si="1"/>
        <v>update unidad set gobernada = 1, fechagobernada = '2024-09-06' where name = 'TLEA-142';</v>
      </c>
    </row>
    <row r="91" spans="1:6" x14ac:dyDescent="0.3">
      <c r="A91" t="s">
        <v>340</v>
      </c>
      <c r="B91" s="70" t="s">
        <v>33</v>
      </c>
      <c r="C91" s="70">
        <v>0</v>
      </c>
      <c r="D91" s="74" t="s">
        <v>975</v>
      </c>
      <c r="F91" t="str">
        <f t="shared" si="1"/>
        <v>update unidad set gobernada = 0, fechagobernada = null' where name = 'TLEA-143';</v>
      </c>
    </row>
    <row r="92" spans="1:6" x14ac:dyDescent="0.3">
      <c r="A92" t="s">
        <v>343</v>
      </c>
      <c r="B92" s="70" t="s">
        <v>41</v>
      </c>
      <c r="C92" s="70">
        <v>1</v>
      </c>
      <c r="D92" s="75" t="s">
        <v>999</v>
      </c>
      <c r="F92" t="str">
        <f t="shared" si="1"/>
        <v>update unidad set gobernada = 1, fechagobernada = '2024-08-08' where name = 'TLEA-144';</v>
      </c>
    </row>
    <row r="93" spans="1:6" x14ac:dyDescent="0.3">
      <c r="A93" t="s">
        <v>346</v>
      </c>
      <c r="B93" s="70" t="s">
        <v>33</v>
      </c>
      <c r="C93" s="70">
        <v>0</v>
      </c>
      <c r="D93" s="74" t="s">
        <v>975</v>
      </c>
      <c r="F93" t="str">
        <f t="shared" si="1"/>
        <v>update unidad set gobernada = 0, fechagobernada = null' where name = 'TLEA-145';</v>
      </c>
    </row>
    <row r="94" spans="1:6" x14ac:dyDescent="0.3">
      <c r="A94" t="s">
        <v>349</v>
      </c>
      <c r="B94" s="70" t="s">
        <v>33</v>
      </c>
      <c r="C94" s="70">
        <v>0</v>
      </c>
      <c r="D94" s="74" t="s">
        <v>975</v>
      </c>
      <c r="F94" t="str">
        <f t="shared" si="1"/>
        <v>update unidad set gobernada = 0, fechagobernada = null' where name = 'TLEA-146';</v>
      </c>
    </row>
    <row r="95" spans="1:6" x14ac:dyDescent="0.3">
      <c r="A95" t="s">
        <v>352</v>
      </c>
      <c r="B95" s="70" t="s">
        <v>41</v>
      </c>
      <c r="C95" s="70">
        <v>1</v>
      </c>
      <c r="D95" s="75" t="s">
        <v>986</v>
      </c>
      <c r="F95" t="str">
        <f t="shared" si="1"/>
        <v>update unidad set gobernada = 1, fechagobernada = '2024-11-13' where name = 'TLEA-147';</v>
      </c>
    </row>
    <row r="96" spans="1:6" x14ac:dyDescent="0.3">
      <c r="A96" t="s">
        <v>355</v>
      </c>
      <c r="B96" s="70" t="s">
        <v>33</v>
      </c>
      <c r="C96" s="70">
        <v>0</v>
      </c>
      <c r="D96" s="74" t="s">
        <v>975</v>
      </c>
      <c r="F96" t="str">
        <f t="shared" si="1"/>
        <v>update unidad set gobernada = 0, fechagobernada = null' where name = 'TLEA-148';</v>
      </c>
    </row>
    <row r="97" spans="1:6" x14ac:dyDescent="0.3">
      <c r="A97" t="s">
        <v>358</v>
      </c>
      <c r="B97" s="70" t="s">
        <v>41</v>
      </c>
      <c r="C97" s="70">
        <v>1</v>
      </c>
      <c r="D97" s="75" t="s">
        <v>1000</v>
      </c>
      <c r="F97" t="str">
        <f t="shared" si="1"/>
        <v>update unidad set gobernada = 1, fechagobernada = '2024-09-21' where name = 'TLEA-149';</v>
      </c>
    </row>
    <row r="98" spans="1:6" x14ac:dyDescent="0.3">
      <c r="A98" t="s">
        <v>361</v>
      </c>
      <c r="B98" s="70" t="s">
        <v>41</v>
      </c>
      <c r="C98" s="70">
        <v>1</v>
      </c>
      <c r="D98" s="75" t="s">
        <v>984</v>
      </c>
      <c r="F98" t="str">
        <f t="shared" si="1"/>
        <v>update unidad set gobernada = 1, fechagobernada = '2024-11-14' where name = 'TLEA-150';</v>
      </c>
    </row>
    <row r="99" spans="1:6" x14ac:dyDescent="0.3">
      <c r="A99" t="s">
        <v>364</v>
      </c>
      <c r="B99" s="70" t="s">
        <v>41</v>
      </c>
      <c r="C99" s="70">
        <v>1</v>
      </c>
      <c r="D99" s="75" t="s">
        <v>986</v>
      </c>
      <c r="F99" t="str">
        <f t="shared" si="1"/>
        <v>update unidad set gobernada = 1, fechagobernada = '2024-11-13' where name = 'TLEA-151';</v>
      </c>
    </row>
    <row r="100" spans="1:6" x14ac:dyDescent="0.3">
      <c r="A100" t="s">
        <v>367</v>
      </c>
      <c r="B100" s="70" t="s">
        <v>41</v>
      </c>
      <c r="C100" s="70">
        <v>1</v>
      </c>
      <c r="D100" s="75" t="s">
        <v>1001</v>
      </c>
      <c r="F100" t="str">
        <f t="shared" si="1"/>
        <v>update unidad set gobernada = 1, fechagobernada = '2024-09-10' where name = 'TLEA-152';</v>
      </c>
    </row>
    <row r="101" spans="1:6" x14ac:dyDescent="0.3">
      <c r="A101" t="s">
        <v>370</v>
      </c>
      <c r="B101" s="70" t="s">
        <v>41</v>
      </c>
      <c r="C101" s="70">
        <v>1</v>
      </c>
      <c r="D101" s="75" t="s">
        <v>994</v>
      </c>
      <c r="F101" t="str">
        <f t="shared" si="1"/>
        <v>update unidad set gobernada = 1, fechagobernada = '2024-08-14' where name = 'TLEA-153';</v>
      </c>
    </row>
    <row r="102" spans="1:6" x14ac:dyDescent="0.3">
      <c r="A102" t="s">
        <v>373</v>
      </c>
      <c r="B102" s="70" t="s">
        <v>41</v>
      </c>
      <c r="C102" s="70">
        <v>1</v>
      </c>
      <c r="D102" s="75" t="s">
        <v>984</v>
      </c>
      <c r="F102" t="str">
        <f t="shared" si="1"/>
        <v>update unidad set gobernada = 1, fechagobernada = '2024-11-14' where name = 'TLEA-154';</v>
      </c>
    </row>
    <row r="103" spans="1:6" x14ac:dyDescent="0.3">
      <c r="A103" t="s">
        <v>376</v>
      </c>
      <c r="B103" s="70" t="s">
        <v>33</v>
      </c>
      <c r="C103" s="70">
        <v>0</v>
      </c>
      <c r="D103" s="74" t="s">
        <v>975</v>
      </c>
      <c r="F103" t="str">
        <f t="shared" si="1"/>
        <v>update unidad set gobernada = 0, fechagobernada = null' where name = 'TLEA-155';</v>
      </c>
    </row>
    <row r="104" spans="1:6" x14ac:dyDescent="0.3">
      <c r="A104" t="s">
        <v>379</v>
      </c>
      <c r="B104" s="70" t="s">
        <v>41</v>
      </c>
      <c r="C104" s="70">
        <v>1</v>
      </c>
      <c r="D104" s="75" t="s">
        <v>984</v>
      </c>
      <c r="F104" t="str">
        <f t="shared" si="1"/>
        <v>update unidad set gobernada = 1, fechagobernada = '2024-11-14' where name = 'TLEA-156';</v>
      </c>
    </row>
    <row r="105" spans="1:6" x14ac:dyDescent="0.3">
      <c r="A105" t="s">
        <v>382</v>
      </c>
      <c r="B105" s="70" t="s">
        <v>41</v>
      </c>
      <c r="C105" s="70">
        <v>1</v>
      </c>
      <c r="D105" s="75" t="s">
        <v>984</v>
      </c>
      <c r="F105" t="str">
        <f t="shared" si="1"/>
        <v>update unidad set gobernada = 1, fechagobernada = '2024-11-14' where name = 'TLEA-157';</v>
      </c>
    </row>
    <row r="106" spans="1:6" x14ac:dyDescent="0.3">
      <c r="A106" t="s">
        <v>385</v>
      </c>
      <c r="B106" s="70" t="s">
        <v>41</v>
      </c>
      <c r="C106" s="70">
        <v>1</v>
      </c>
      <c r="D106" s="75" t="s">
        <v>1002</v>
      </c>
      <c r="F106" t="str">
        <f t="shared" si="1"/>
        <v>update unidad set gobernada = 1, fechagobernada = '2024-11-12' where name = 'TLEA-158';</v>
      </c>
    </row>
    <row r="107" spans="1:6" x14ac:dyDescent="0.3">
      <c r="A107" t="s">
        <v>388</v>
      </c>
      <c r="B107" s="70" t="s">
        <v>41</v>
      </c>
      <c r="C107" s="70">
        <v>1</v>
      </c>
      <c r="D107" s="75" t="s">
        <v>1003</v>
      </c>
      <c r="F107" t="str">
        <f t="shared" si="1"/>
        <v>update unidad set gobernada = 1, fechagobernada = '2024-10-26' where name = 'TLEA-159';</v>
      </c>
    </row>
    <row r="108" spans="1:6" x14ac:dyDescent="0.3">
      <c r="A108" t="s">
        <v>391</v>
      </c>
      <c r="B108" s="70" t="s">
        <v>41</v>
      </c>
      <c r="C108" s="70">
        <v>1</v>
      </c>
      <c r="D108" s="76" t="s">
        <v>1026</v>
      </c>
      <c r="F108" t="str">
        <f t="shared" si="1"/>
        <v>update unidad set gobernada = 1, fechagobernada = 2024-08-27' where name = 'TLEA-160';</v>
      </c>
    </row>
    <row r="109" spans="1:6" x14ac:dyDescent="0.3">
      <c r="A109" t="s">
        <v>395</v>
      </c>
      <c r="B109" s="70" t="s">
        <v>41</v>
      </c>
      <c r="C109" s="70">
        <v>1</v>
      </c>
      <c r="D109" s="75" t="s">
        <v>995</v>
      </c>
      <c r="F109" t="str">
        <f t="shared" si="1"/>
        <v>update unidad set gobernada = 1, fechagobernada = '2024-10-22' where name = 'TLEA-161';</v>
      </c>
    </row>
    <row r="110" spans="1:6" x14ac:dyDescent="0.3">
      <c r="A110" t="s">
        <v>398</v>
      </c>
      <c r="B110" s="70" t="s">
        <v>41</v>
      </c>
      <c r="C110" s="70">
        <v>1</v>
      </c>
      <c r="D110" s="75" t="s">
        <v>995</v>
      </c>
      <c r="F110" t="str">
        <f t="shared" si="1"/>
        <v>update unidad set gobernada = 1, fechagobernada = '2024-10-22' where name = 'TLEA-162';</v>
      </c>
    </row>
    <row r="111" spans="1:6" x14ac:dyDescent="0.3">
      <c r="A111" t="s">
        <v>401</v>
      </c>
      <c r="B111" s="70" t="s">
        <v>41</v>
      </c>
      <c r="C111" s="70">
        <v>1</v>
      </c>
      <c r="D111" s="75" t="s">
        <v>977</v>
      </c>
      <c r="F111" t="str">
        <f t="shared" si="1"/>
        <v>update unidad set gobernada = 1, fechagobernada = '2024-08-17' where name = 'TLEA-163';</v>
      </c>
    </row>
    <row r="112" spans="1:6" x14ac:dyDescent="0.3">
      <c r="A112" t="s">
        <v>404</v>
      </c>
      <c r="B112" s="70" t="s">
        <v>33</v>
      </c>
      <c r="C112" s="70">
        <v>0</v>
      </c>
      <c r="D112" s="74" t="s">
        <v>975</v>
      </c>
      <c r="F112" t="str">
        <f t="shared" si="1"/>
        <v>update unidad set gobernada = 0, fechagobernada = null' where name = 'TLEA-164';</v>
      </c>
    </row>
    <row r="113" spans="1:6" x14ac:dyDescent="0.3">
      <c r="A113" t="s">
        <v>407</v>
      </c>
      <c r="B113" s="70" t="s">
        <v>33</v>
      </c>
      <c r="C113" s="70">
        <v>0</v>
      </c>
      <c r="D113" s="74" t="s">
        <v>975</v>
      </c>
      <c r="F113" t="str">
        <f t="shared" si="1"/>
        <v>update unidad set gobernada = 0, fechagobernada = null' where name = 'TLEA-165';</v>
      </c>
    </row>
    <row r="114" spans="1:6" x14ac:dyDescent="0.3">
      <c r="A114" t="s">
        <v>410</v>
      </c>
      <c r="B114" s="70" t="s">
        <v>41</v>
      </c>
      <c r="C114" s="70">
        <v>1</v>
      </c>
      <c r="D114" s="75" t="s">
        <v>1004</v>
      </c>
      <c r="F114" t="str">
        <f t="shared" si="1"/>
        <v>update unidad set gobernada = 1, fechagobernada = '2024-09-13' where name = 'TLEA-166';</v>
      </c>
    </row>
    <row r="115" spans="1:6" x14ac:dyDescent="0.3">
      <c r="A115" t="s">
        <v>413</v>
      </c>
      <c r="B115" s="70" t="s">
        <v>41</v>
      </c>
      <c r="C115" s="70">
        <v>1</v>
      </c>
      <c r="D115" s="75" t="s">
        <v>996</v>
      </c>
      <c r="F115" t="str">
        <f t="shared" si="1"/>
        <v>update unidad set gobernada = 1, fechagobernada = '2024-09-17' where name = 'TLEA-167';</v>
      </c>
    </row>
    <row r="116" spans="1:6" x14ac:dyDescent="0.3">
      <c r="A116" t="s">
        <v>416</v>
      </c>
      <c r="B116" s="70" t="s">
        <v>33</v>
      </c>
      <c r="C116" s="70">
        <v>0</v>
      </c>
      <c r="D116" s="74" t="s">
        <v>975</v>
      </c>
      <c r="F116" t="str">
        <f t="shared" si="1"/>
        <v>update unidad set gobernada = 0, fechagobernada = null' where name = 'TLEA-168';</v>
      </c>
    </row>
    <row r="117" spans="1:6" x14ac:dyDescent="0.3">
      <c r="A117" t="s">
        <v>419</v>
      </c>
      <c r="B117" s="70" t="s">
        <v>33</v>
      </c>
      <c r="C117" s="70">
        <v>0</v>
      </c>
      <c r="D117" s="74" t="s">
        <v>975</v>
      </c>
      <c r="F117" t="str">
        <f t="shared" si="1"/>
        <v>update unidad set gobernada = 0, fechagobernada = null' where name = 'TLEA-169';</v>
      </c>
    </row>
    <row r="118" spans="1:6" x14ac:dyDescent="0.3">
      <c r="A118" t="s">
        <v>422</v>
      </c>
      <c r="B118" s="70" t="s">
        <v>41</v>
      </c>
      <c r="C118" s="70">
        <v>1</v>
      </c>
      <c r="D118" s="75" t="s">
        <v>978</v>
      </c>
      <c r="F118" t="str">
        <f t="shared" si="1"/>
        <v>update unidad set gobernada = 1, fechagobernada = '2024-10-07' where name = 'TLEA-170';</v>
      </c>
    </row>
    <row r="119" spans="1:6" x14ac:dyDescent="0.3">
      <c r="A119" t="s">
        <v>425</v>
      </c>
      <c r="B119" s="70" t="s">
        <v>33</v>
      </c>
      <c r="C119" s="70">
        <v>0</v>
      </c>
      <c r="D119" s="74" t="s">
        <v>975</v>
      </c>
      <c r="F119" t="str">
        <f t="shared" si="1"/>
        <v>update unidad set gobernada = 0, fechagobernada = null' where name = 'TLEA-171';</v>
      </c>
    </row>
    <row r="120" spans="1:6" x14ac:dyDescent="0.3">
      <c r="A120" t="s">
        <v>428</v>
      </c>
      <c r="B120" s="70" t="s">
        <v>33</v>
      </c>
      <c r="C120" s="70">
        <v>0</v>
      </c>
      <c r="D120" s="74" t="s">
        <v>975</v>
      </c>
      <c r="F120" t="str">
        <f t="shared" si="1"/>
        <v>update unidad set gobernada = 0, fechagobernada = null' where name = 'TLEA-172';</v>
      </c>
    </row>
    <row r="121" spans="1:6" x14ac:dyDescent="0.3">
      <c r="A121" t="s">
        <v>431</v>
      </c>
      <c r="B121" s="70" t="s">
        <v>41</v>
      </c>
      <c r="C121" s="70">
        <v>1</v>
      </c>
      <c r="D121" s="75" t="s">
        <v>1005</v>
      </c>
      <c r="F121" t="str">
        <f t="shared" si="1"/>
        <v>update unidad set gobernada = 1, fechagobernada = '2024-10-08' where name = 'TLEA-173';</v>
      </c>
    </row>
    <row r="122" spans="1:6" x14ac:dyDescent="0.3">
      <c r="A122" t="s">
        <v>434</v>
      </c>
      <c r="B122" s="70" t="s">
        <v>33</v>
      </c>
      <c r="C122" s="70">
        <v>0</v>
      </c>
      <c r="D122" s="74" t="s">
        <v>975</v>
      </c>
      <c r="F122" t="str">
        <f t="shared" si="1"/>
        <v>update unidad set gobernada = 0, fechagobernada = null' where name = 'TLEA-174';</v>
      </c>
    </row>
    <row r="123" spans="1:6" x14ac:dyDescent="0.3">
      <c r="A123" t="s">
        <v>437</v>
      </c>
      <c r="B123" s="70" t="s">
        <v>41</v>
      </c>
      <c r="C123" s="70">
        <v>1</v>
      </c>
      <c r="D123" s="75" t="s">
        <v>981</v>
      </c>
      <c r="F123" t="str">
        <f t="shared" si="1"/>
        <v>update unidad set gobernada = 1, fechagobernada = '2024-08-13' where name = 'TLEA-175';</v>
      </c>
    </row>
    <row r="124" spans="1:6" x14ac:dyDescent="0.3">
      <c r="A124" t="s">
        <v>440</v>
      </c>
      <c r="B124" s="70" t="s">
        <v>33</v>
      </c>
      <c r="C124" s="70">
        <v>0</v>
      </c>
      <c r="D124" s="74" t="s">
        <v>975</v>
      </c>
      <c r="F124" t="str">
        <f t="shared" si="1"/>
        <v>update unidad set gobernada = 0, fechagobernada = null' where name = 'TLEA-176';</v>
      </c>
    </row>
    <row r="125" spans="1:6" x14ac:dyDescent="0.3">
      <c r="A125" t="s">
        <v>443</v>
      </c>
      <c r="B125" s="70" t="s">
        <v>41</v>
      </c>
      <c r="C125" s="70">
        <v>1</v>
      </c>
      <c r="D125" s="75" t="s">
        <v>1006</v>
      </c>
      <c r="F125" t="str">
        <f t="shared" si="1"/>
        <v>update unidad set gobernada = 1, fechagobernada = '2024-09-04' where name = 'TLEA-177';</v>
      </c>
    </row>
    <row r="126" spans="1:6" x14ac:dyDescent="0.3">
      <c r="A126" t="s">
        <v>446</v>
      </c>
      <c r="B126" s="70" t="s">
        <v>33</v>
      </c>
      <c r="C126" s="70">
        <v>0</v>
      </c>
      <c r="D126" s="74" t="s">
        <v>975</v>
      </c>
      <c r="F126" t="str">
        <f t="shared" si="1"/>
        <v>update unidad set gobernada = 0, fechagobernada = null' where name = 'TLEA-178';</v>
      </c>
    </row>
    <row r="127" spans="1:6" x14ac:dyDescent="0.3">
      <c r="A127" t="s">
        <v>449</v>
      </c>
      <c r="B127" s="70" t="s">
        <v>41</v>
      </c>
      <c r="C127" s="70">
        <v>1</v>
      </c>
      <c r="D127" s="75" t="s">
        <v>989</v>
      </c>
      <c r="F127" t="str">
        <f t="shared" si="1"/>
        <v>update unidad set gobernada = 1, fechagobernada = '2024-11-19' where name = 'TLEA-179';</v>
      </c>
    </row>
    <row r="128" spans="1:6" x14ac:dyDescent="0.3">
      <c r="A128" t="s">
        <v>452</v>
      </c>
      <c r="B128" s="70" t="s">
        <v>41</v>
      </c>
      <c r="C128" s="70">
        <v>1</v>
      </c>
      <c r="D128" s="75" t="s">
        <v>1007</v>
      </c>
      <c r="F128" t="str">
        <f t="shared" si="1"/>
        <v>update unidad set gobernada = 1, fechagobernada = '2024-09-11' where name = 'TLEA-180';</v>
      </c>
    </row>
    <row r="129" spans="1:6" x14ac:dyDescent="0.3">
      <c r="A129" t="s">
        <v>455</v>
      </c>
      <c r="B129" s="70" t="s">
        <v>41</v>
      </c>
      <c r="C129" s="70">
        <v>1</v>
      </c>
      <c r="D129" s="75" t="s">
        <v>1008</v>
      </c>
      <c r="F129" t="str">
        <f t="shared" si="1"/>
        <v>update unidad set gobernada = 1, fechagobernada = '2024-08-28' where name = 'TLEA-181';</v>
      </c>
    </row>
    <row r="130" spans="1:6" x14ac:dyDescent="0.3">
      <c r="A130" t="s">
        <v>458</v>
      </c>
      <c r="B130" s="70" t="s">
        <v>41</v>
      </c>
      <c r="C130" s="70">
        <v>1</v>
      </c>
      <c r="D130" s="75" t="s">
        <v>978</v>
      </c>
      <c r="F130" t="str">
        <f t="shared" si="1"/>
        <v>update unidad set gobernada = 1, fechagobernada = '2024-10-07' where name = 'TLEA-182';</v>
      </c>
    </row>
    <row r="131" spans="1:6" x14ac:dyDescent="0.3">
      <c r="A131" t="s">
        <v>461</v>
      </c>
      <c r="B131" s="70" t="s">
        <v>33</v>
      </c>
      <c r="C131" s="70">
        <v>0</v>
      </c>
      <c r="D131" s="74" t="s">
        <v>975</v>
      </c>
      <c r="F131" t="str">
        <f t="shared" ref="F131:F194" si="2">CONCATENATE("update unidad set gobernada = ", C131,", fechagobernada = ",D131,"' where name = '",A131,"';")</f>
        <v>update unidad set gobernada = 0, fechagobernada = null' where name = 'TLEA-183';</v>
      </c>
    </row>
    <row r="132" spans="1:6" x14ac:dyDescent="0.3">
      <c r="A132" t="s">
        <v>464</v>
      </c>
      <c r="B132" s="70" t="s">
        <v>33</v>
      </c>
      <c r="C132" s="70">
        <v>0</v>
      </c>
      <c r="D132" s="74" t="s">
        <v>975</v>
      </c>
      <c r="F132" t="str">
        <f t="shared" si="2"/>
        <v>update unidad set gobernada = 0, fechagobernada = null' where name = 'TLEA-184';</v>
      </c>
    </row>
    <row r="133" spans="1:6" x14ac:dyDescent="0.3">
      <c r="A133" t="s">
        <v>467</v>
      </c>
      <c r="B133" s="70" t="s">
        <v>41</v>
      </c>
      <c r="C133" s="70">
        <v>1</v>
      </c>
      <c r="D133" s="75" t="s">
        <v>1009</v>
      </c>
      <c r="F133" t="str">
        <f t="shared" si="2"/>
        <v>update unidad set gobernada = 1, fechagobernada = '2024-10-09' where name = 'TLEA-185';</v>
      </c>
    </row>
    <row r="134" spans="1:6" x14ac:dyDescent="0.3">
      <c r="A134" t="s">
        <v>470</v>
      </c>
      <c r="B134" s="70" t="s">
        <v>41</v>
      </c>
      <c r="C134" s="70">
        <v>1</v>
      </c>
      <c r="D134" s="75" t="s">
        <v>1005</v>
      </c>
      <c r="F134" t="str">
        <f t="shared" si="2"/>
        <v>update unidad set gobernada = 1, fechagobernada = '2024-10-08' where name = 'TLEA-186';</v>
      </c>
    </row>
    <row r="135" spans="1:6" x14ac:dyDescent="0.3">
      <c r="A135" t="s">
        <v>473</v>
      </c>
      <c r="B135" s="70" t="s">
        <v>33</v>
      </c>
      <c r="C135" s="70">
        <v>0</v>
      </c>
      <c r="D135" s="74" t="s">
        <v>975</v>
      </c>
      <c r="F135" t="str">
        <f t="shared" si="2"/>
        <v>update unidad set gobernada = 0, fechagobernada = null' where name = 'TLEA-187';</v>
      </c>
    </row>
    <row r="136" spans="1:6" x14ac:dyDescent="0.3">
      <c r="A136" t="s">
        <v>476</v>
      </c>
      <c r="B136" s="70" t="s">
        <v>41</v>
      </c>
      <c r="C136" s="70">
        <v>1</v>
      </c>
      <c r="D136" s="75" t="s">
        <v>1010</v>
      </c>
      <c r="F136" t="str">
        <f t="shared" si="2"/>
        <v>update unidad set gobernada = 1, fechagobernada = '2024-10-30' where name = 'TLEA-188';</v>
      </c>
    </row>
    <row r="137" spans="1:6" x14ac:dyDescent="0.3">
      <c r="A137" t="s">
        <v>479</v>
      </c>
      <c r="B137" s="70" t="s">
        <v>41</v>
      </c>
      <c r="C137" s="70">
        <v>1</v>
      </c>
      <c r="D137" s="75" t="s">
        <v>1005</v>
      </c>
      <c r="F137" t="str">
        <f t="shared" si="2"/>
        <v>update unidad set gobernada = 1, fechagobernada = '2024-10-08' where name = 'TLEA-189';</v>
      </c>
    </row>
    <row r="138" spans="1:6" x14ac:dyDescent="0.3">
      <c r="A138" t="s">
        <v>482</v>
      </c>
      <c r="B138" s="70" t="s">
        <v>41</v>
      </c>
      <c r="C138" s="70">
        <v>1</v>
      </c>
      <c r="D138" s="75" t="s">
        <v>978</v>
      </c>
      <c r="F138" t="str">
        <f t="shared" si="2"/>
        <v>update unidad set gobernada = 1, fechagobernada = '2024-10-07' where name = 'TLEA-190';</v>
      </c>
    </row>
    <row r="139" spans="1:6" x14ac:dyDescent="0.3">
      <c r="A139" t="s">
        <v>485</v>
      </c>
      <c r="B139" s="70" t="s">
        <v>41</v>
      </c>
      <c r="C139" s="70">
        <v>1</v>
      </c>
      <c r="D139" s="75" t="s">
        <v>986</v>
      </c>
      <c r="F139" t="str">
        <f t="shared" si="2"/>
        <v>update unidad set gobernada = 1, fechagobernada = '2024-11-13' where name = 'TLEA-191';</v>
      </c>
    </row>
    <row r="140" spans="1:6" x14ac:dyDescent="0.3">
      <c r="A140" t="s">
        <v>488</v>
      </c>
      <c r="B140" s="70" t="s">
        <v>41</v>
      </c>
      <c r="C140" s="70">
        <v>1</v>
      </c>
      <c r="D140" s="75" t="s">
        <v>1011</v>
      </c>
      <c r="F140" t="str">
        <f t="shared" si="2"/>
        <v>update unidad set gobernada = 1, fechagobernada = '2024-09-18' where name = 'TLEA-192';</v>
      </c>
    </row>
    <row r="141" spans="1:6" x14ac:dyDescent="0.3">
      <c r="A141" t="s">
        <v>491</v>
      </c>
      <c r="B141" s="70" t="s">
        <v>41</v>
      </c>
      <c r="C141" s="70">
        <v>1</v>
      </c>
      <c r="D141" s="75" t="s">
        <v>1012</v>
      </c>
      <c r="F141" t="str">
        <f t="shared" si="2"/>
        <v>update unidad set gobernada = 1, fechagobernada = '2024-08-30' where name = 'TLEA-193';</v>
      </c>
    </row>
    <row r="142" spans="1:6" x14ac:dyDescent="0.3">
      <c r="A142" t="s">
        <v>494</v>
      </c>
      <c r="B142" s="70" t="s">
        <v>41</v>
      </c>
      <c r="C142" s="70">
        <v>1</v>
      </c>
      <c r="D142" s="75" t="s">
        <v>986</v>
      </c>
      <c r="F142" t="str">
        <f t="shared" si="2"/>
        <v>update unidad set gobernada = 1, fechagobernada = '2024-11-13' where name = 'TLEA-194';</v>
      </c>
    </row>
    <row r="143" spans="1:6" x14ac:dyDescent="0.3">
      <c r="A143" t="s">
        <v>497</v>
      </c>
      <c r="B143" s="70" t="s">
        <v>41</v>
      </c>
      <c r="C143" s="70">
        <v>1</v>
      </c>
      <c r="D143" s="75" t="s">
        <v>978</v>
      </c>
      <c r="F143" t="str">
        <f t="shared" si="2"/>
        <v>update unidad set gobernada = 1, fechagobernada = '2024-10-07' where name = 'TLEA-195';</v>
      </c>
    </row>
    <row r="144" spans="1:6" x14ac:dyDescent="0.3">
      <c r="A144" t="s">
        <v>500</v>
      </c>
      <c r="B144" s="70" t="s">
        <v>41</v>
      </c>
      <c r="C144" s="70">
        <v>1</v>
      </c>
      <c r="D144" s="75" t="s">
        <v>1013</v>
      </c>
      <c r="F144" t="str">
        <f t="shared" si="2"/>
        <v>update unidad set gobernada = 1, fechagobernada = '2024-09-19' where name = 'TLEA-196';</v>
      </c>
    </row>
    <row r="145" spans="1:6" x14ac:dyDescent="0.3">
      <c r="A145" t="s">
        <v>503</v>
      </c>
      <c r="B145" s="70" t="s">
        <v>33</v>
      </c>
      <c r="C145" s="70">
        <v>0</v>
      </c>
      <c r="D145" s="74" t="s">
        <v>975</v>
      </c>
      <c r="F145" t="str">
        <f t="shared" si="2"/>
        <v>update unidad set gobernada = 0, fechagobernada = null' where name = 'TLEA-197';</v>
      </c>
    </row>
    <row r="146" spans="1:6" x14ac:dyDescent="0.3">
      <c r="A146" t="s">
        <v>506</v>
      </c>
      <c r="B146" s="70" t="s">
        <v>41</v>
      </c>
      <c r="C146" s="70">
        <v>1</v>
      </c>
      <c r="D146" s="75" t="s">
        <v>1014</v>
      </c>
      <c r="F146" t="str">
        <f t="shared" si="2"/>
        <v>update unidad set gobernada = 1, fechagobernada = '2024-10-29' where name = 'TLEA-198';</v>
      </c>
    </row>
    <row r="147" spans="1:6" x14ac:dyDescent="0.3">
      <c r="A147" t="s">
        <v>509</v>
      </c>
      <c r="B147" s="70" t="s">
        <v>41</v>
      </c>
      <c r="C147" s="70">
        <v>1</v>
      </c>
      <c r="D147" s="75" t="s">
        <v>998</v>
      </c>
      <c r="F147" t="str">
        <f t="shared" si="2"/>
        <v>update unidad set gobernada = 1, fechagobernada = '2024-09-06' where name = 'TLEA-199';</v>
      </c>
    </row>
    <row r="148" spans="1:6" x14ac:dyDescent="0.3">
      <c r="A148" t="s">
        <v>512</v>
      </c>
      <c r="B148" s="70" t="s">
        <v>33</v>
      </c>
      <c r="C148" s="70">
        <v>0</v>
      </c>
      <c r="D148" s="74" t="s">
        <v>975</v>
      </c>
      <c r="F148" t="str">
        <f t="shared" si="2"/>
        <v>update unidad set gobernada = 0, fechagobernada = null' where name = 'TLEA-200';</v>
      </c>
    </row>
    <row r="149" spans="1:6" x14ac:dyDescent="0.3">
      <c r="A149" t="s">
        <v>517</v>
      </c>
      <c r="B149" s="70" t="s">
        <v>41</v>
      </c>
      <c r="C149" s="70">
        <v>1</v>
      </c>
      <c r="D149" s="75" t="s">
        <v>977</v>
      </c>
      <c r="F149" t="str">
        <f t="shared" si="2"/>
        <v>update unidad set gobernada = 1, fechagobernada = '2024-08-17' where name = 'TLEA-201';</v>
      </c>
    </row>
    <row r="150" spans="1:6" x14ac:dyDescent="0.3">
      <c r="A150" t="s">
        <v>520</v>
      </c>
      <c r="B150" s="70" t="s">
        <v>33</v>
      </c>
      <c r="C150" s="70">
        <v>0</v>
      </c>
      <c r="D150" s="74" t="s">
        <v>975</v>
      </c>
      <c r="F150" t="str">
        <f t="shared" si="2"/>
        <v>update unidad set gobernada = 0, fechagobernada = null' where name = 'TLEA-202';</v>
      </c>
    </row>
    <row r="151" spans="1:6" x14ac:dyDescent="0.3">
      <c r="A151" t="s">
        <v>523</v>
      </c>
      <c r="B151" s="70" t="s">
        <v>33</v>
      </c>
      <c r="C151" s="70">
        <v>0</v>
      </c>
      <c r="D151" s="74" t="s">
        <v>975</v>
      </c>
      <c r="F151" t="str">
        <f t="shared" si="2"/>
        <v>update unidad set gobernada = 0, fechagobernada = null' where name = 'TLEA-203';</v>
      </c>
    </row>
    <row r="152" spans="1:6" x14ac:dyDescent="0.3">
      <c r="A152" t="s">
        <v>526</v>
      </c>
      <c r="B152" s="70" t="s">
        <v>33</v>
      </c>
      <c r="C152" s="70">
        <v>0</v>
      </c>
      <c r="D152" s="74" t="s">
        <v>975</v>
      </c>
      <c r="F152" t="str">
        <f t="shared" si="2"/>
        <v>update unidad set gobernada = 0, fechagobernada = null' where name = 'TLEA-204';</v>
      </c>
    </row>
    <row r="153" spans="1:6" x14ac:dyDescent="0.3">
      <c r="A153" t="s">
        <v>529</v>
      </c>
      <c r="B153" s="70" t="s">
        <v>41</v>
      </c>
      <c r="C153" s="70">
        <v>1</v>
      </c>
      <c r="D153" s="75" t="s">
        <v>979</v>
      </c>
      <c r="F153" t="str">
        <f t="shared" si="2"/>
        <v>update unidad set gobernada = 1, fechagobernada = '2024-10-31' where name = 'TLEA-205';</v>
      </c>
    </row>
    <row r="154" spans="1:6" x14ac:dyDescent="0.3">
      <c r="A154" t="s">
        <v>532</v>
      </c>
      <c r="B154" s="70" t="s">
        <v>33</v>
      </c>
      <c r="C154" s="70">
        <v>0</v>
      </c>
      <c r="D154" s="74" t="s">
        <v>975</v>
      </c>
      <c r="F154" t="str">
        <f t="shared" si="2"/>
        <v>update unidad set gobernada = 0, fechagobernada = null' where name = 'TLEA-206';</v>
      </c>
    </row>
    <row r="155" spans="1:6" x14ac:dyDescent="0.3">
      <c r="A155" t="s">
        <v>535</v>
      </c>
      <c r="B155" s="70" t="s">
        <v>41</v>
      </c>
      <c r="C155" s="70">
        <v>1</v>
      </c>
      <c r="D155" s="75" t="s">
        <v>976</v>
      </c>
      <c r="F155" t="str">
        <f t="shared" si="2"/>
        <v>update unidad set gobernada = 1, fechagobernada = '2024-08-01' where name = 'TLEA-207';</v>
      </c>
    </row>
    <row r="156" spans="1:6" x14ac:dyDescent="0.3">
      <c r="A156" t="s">
        <v>538</v>
      </c>
      <c r="B156" s="70" t="s">
        <v>33</v>
      </c>
      <c r="C156" s="70">
        <v>0</v>
      </c>
      <c r="D156" s="74" t="s">
        <v>975</v>
      </c>
      <c r="F156" t="str">
        <f t="shared" si="2"/>
        <v>update unidad set gobernada = 0, fechagobernada = null' where name = 'TLEA-208';</v>
      </c>
    </row>
    <row r="157" spans="1:6" x14ac:dyDescent="0.3">
      <c r="A157" t="s">
        <v>541</v>
      </c>
      <c r="B157" s="70" t="s">
        <v>33</v>
      </c>
      <c r="C157" s="70">
        <v>0</v>
      </c>
      <c r="D157" s="74" t="s">
        <v>975</v>
      </c>
      <c r="F157" t="str">
        <f t="shared" si="2"/>
        <v>update unidad set gobernada = 0, fechagobernada = null' where name = 'TLEA-209';</v>
      </c>
    </row>
    <row r="158" spans="1:6" x14ac:dyDescent="0.3">
      <c r="A158" t="s">
        <v>544</v>
      </c>
      <c r="B158" s="70" t="s">
        <v>33</v>
      </c>
      <c r="C158" s="70">
        <v>0</v>
      </c>
      <c r="D158" s="74" t="s">
        <v>975</v>
      </c>
      <c r="F158" t="str">
        <f t="shared" si="2"/>
        <v>update unidad set gobernada = 0, fechagobernada = null' where name = 'TLEA-210';</v>
      </c>
    </row>
    <row r="159" spans="1:6" x14ac:dyDescent="0.3">
      <c r="A159" t="s">
        <v>547</v>
      </c>
      <c r="B159" s="70" t="s">
        <v>33</v>
      </c>
      <c r="C159" s="70">
        <v>0</v>
      </c>
      <c r="D159" s="74" t="s">
        <v>975</v>
      </c>
      <c r="F159" t="str">
        <f t="shared" si="2"/>
        <v>update unidad set gobernada = 0, fechagobernada = null' where name = 'TLEA-211';</v>
      </c>
    </row>
    <row r="160" spans="1:6" x14ac:dyDescent="0.3">
      <c r="A160" t="s">
        <v>550</v>
      </c>
      <c r="B160" s="70" t="s">
        <v>41</v>
      </c>
      <c r="C160" s="70">
        <v>1</v>
      </c>
      <c r="D160" s="75" t="s">
        <v>995</v>
      </c>
      <c r="F160" t="str">
        <f t="shared" si="2"/>
        <v>update unidad set gobernada = 1, fechagobernada = '2024-10-22' where name = 'TLEA-212';</v>
      </c>
    </row>
    <row r="161" spans="1:6" x14ac:dyDescent="0.3">
      <c r="A161" t="s">
        <v>553</v>
      </c>
      <c r="B161" s="70" t="s">
        <v>41</v>
      </c>
      <c r="C161" s="70">
        <v>1</v>
      </c>
      <c r="D161" s="75" t="s">
        <v>1014</v>
      </c>
      <c r="F161" t="str">
        <f t="shared" si="2"/>
        <v>update unidad set gobernada = 1, fechagobernada = '2024-10-29' where name = 'TLEA-213';</v>
      </c>
    </row>
    <row r="162" spans="1:6" x14ac:dyDescent="0.3">
      <c r="A162" t="s">
        <v>556</v>
      </c>
      <c r="B162" s="70" t="s">
        <v>33</v>
      </c>
      <c r="C162" s="70">
        <v>0</v>
      </c>
      <c r="D162" s="74" t="s">
        <v>975</v>
      </c>
      <c r="F162" t="str">
        <f t="shared" si="2"/>
        <v>update unidad set gobernada = 0, fechagobernada = null' where name = 'TLEA-214';</v>
      </c>
    </row>
    <row r="163" spans="1:6" x14ac:dyDescent="0.3">
      <c r="A163" t="s">
        <v>559</v>
      </c>
      <c r="B163" s="70" t="s">
        <v>33</v>
      </c>
      <c r="C163" s="70">
        <v>0</v>
      </c>
      <c r="D163" s="74" t="s">
        <v>975</v>
      </c>
      <c r="F163" t="str">
        <f t="shared" si="2"/>
        <v>update unidad set gobernada = 0, fechagobernada = null' where name = 'TLEA-215';</v>
      </c>
    </row>
    <row r="164" spans="1:6" x14ac:dyDescent="0.3">
      <c r="A164" t="s">
        <v>562</v>
      </c>
      <c r="B164" s="70" t="s">
        <v>33</v>
      </c>
      <c r="C164" s="70">
        <v>0</v>
      </c>
      <c r="D164" s="74" t="s">
        <v>975</v>
      </c>
      <c r="F164" t="str">
        <f t="shared" si="2"/>
        <v>update unidad set gobernada = 0, fechagobernada = null' where name = 'TLEA-216';</v>
      </c>
    </row>
    <row r="165" spans="1:6" x14ac:dyDescent="0.3">
      <c r="A165" t="s">
        <v>565</v>
      </c>
      <c r="B165" s="70" t="s">
        <v>33</v>
      </c>
      <c r="C165" s="70">
        <v>0</v>
      </c>
      <c r="D165" s="74" t="s">
        <v>975</v>
      </c>
      <c r="F165" t="str">
        <f t="shared" si="2"/>
        <v>update unidad set gobernada = 0, fechagobernada = null' where name = 'TLEA-217';</v>
      </c>
    </row>
    <row r="166" spans="1:6" x14ac:dyDescent="0.3">
      <c r="A166" t="s">
        <v>568</v>
      </c>
      <c r="B166" s="70" t="s">
        <v>41</v>
      </c>
      <c r="C166" s="70">
        <v>1</v>
      </c>
      <c r="D166" s="75" t="s">
        <v>977</v>
      </c>
      <c r="F166" t="str">
        <f t="shared" si="2"/>
        <v>update unidad set gobernada = 1, fechagobernada = '2024-08-17' where name = 'TLEA-218';</v>
      </c>
    </row>
    <row r="167" spans="1:6" x14ac:dyDescent="0.3">
      <c r="A167" t="s">
        <v>571</v>
      </c>
      <c r="B167" s="70" t="s">
        <v>33</v>
      </c>
      <c r="C167" s="70">
        <v>0</v>
      </c>
      <c r="D167" s="74" t="s">
        <v>975</v>
      </c>
      <c r="F167" t="str">
        <f t="shared" si="2"/>
        <v>update unidad set gobernada = 0, fechagobernada = null' where name = 'TLEA-219';</v>
      </c>
    </row>
    <row r="168" spans="1:6" x14ac:dyDescent="0.3">
      <c r="A168" t="s">
        <v>574</v>
      </c>
      <c r="B168" s="70" t="s">
        <v>41</v>
      </c>
      <c r="C168" s="70">
        <v>1</v>
      </c>
      <c r="D168" s="75" t="s">
        <v>978</v>
      </c>
      <c r="F168" t="str">
        <f t="shared" si="2"/>
        <v>update unidad set gobernada = 1, fechagobernada = '2024-10-07' where name = 'TLEA-220';</v>
      </c>
    </row>
    <row r="169" spans="1:6" x14ac:dyDescent="0.3">
      <c r="A169" t="s">
        <v>577</v>
      </c>
      <c r="B169" s="70" t="s">
        <v>33</v>
      </c>
      <c r="C169" s="70">
        <v>0</v>
      </c>
      <c r="D169" s="74" t="s">
        <v>975</v>
      </c>
      <c r="F169" t="str">
        <f t="shared" si="2"/>
        <v>update unidad set gobernada = 0, fechagobernada = null' where name = 'TLEA-221';</v>
      </c>
    </row>
    <row r="170" spans="1:6" x14ac:dyDescent="0.3">
      <c r="A170" t="s">
        <v>580</v>
      </c>
      <c r="B170" s="70" t="s">
        <v>33</v>
      </c>
      <c r="C170" s="70">
        <v>0</v>
      </c>
      <c r="D170" s="74" t="s">
        <v>975</v>
      </c>
      <c r="F170" t="str">
        <f t="shared" si="2"/>
        <v>update unidad set gobernada = 0, fechagobernada = null' where name = 'TLEA-222';</v>
      </c>
    </row>
    <row r="171" spans="1:6" x14ac:dyDescent="0.3">
      <c r="A171" t="s">
        <v>583</v>
      </c>
      <c r="B171" s="70" t="s">
        <v>41</v>
      </c>
      <c r="C171" s="70">
        <v>1</v>
      </c>
      <c r="D171" s="75" t="s">
        <v>979</v>
      </c>
      <c r="F171" t="str">
        <f t="shared" si="2"/>
        <v>update unidad set gobernada = 1, fechagobernada = '2024-10-31' where name = 'TLEA-223';</v>
      </c>
    </row>
    <row r="172" spans="1:6" x14ac:dyDescent="0.3">
      <c r="A172" t="s">
        <v>586</v>
      </c>
      <c r="B172" s="70" t="s">
        <v>41</v>
      </c>
      <c r="C172" s="70">
        <v>1</v>
      </c>
      <c r="D172" s="75" t="s">
        <v>977</v>
      </c>
      <c r="F172" t="str">
        <f t="shared" si="2"/>
        <v>update unidad set gobernada = 1, fechagobernada = '2024-08-17' where name = 'TLEA-224';</v>
      </c>
    </row>
    <row r="173" spans="1:6" x14ac:dyDescent="0.3">
      <c r="A173" t="s">
        <v>589</v>
      </c>
      <c r="B173" s="70" t="s">
        <v>33</v>
      </c>
      <c r="C173" s="70">
        <v>0</v>
      </c>
      <c r="D173" s="74" t="s">
        <v>975</v>
      </c>
      <c r="F173" t="str">
        <f t="shared" si="2"/>
        <v>update unidad set gobernada = 0, fechagobernada = null' where name = 'TLEA-225';</v>
      </c>
    </row>
    <row r="174" spans="1:6" x14ac:dyDescent="0.3">
      <c r="A174" t="s">
        <v>592</v>
      </c>
      <c r="B174" s="70" t="s">
        <v>33</v>
      </c>
      <c r="C174" s="70">
        <v>0</v>
      </c>
      <c r="D174" s="74" t="s">
        <v>975</v>
      </c>
      <c r="F174" t="str">
        <f t="shared" si="2"/>
        <v>update unidad set gobernada = 0, fechagobernada = null' where name = 'TLEA-226';</v>
      </c>
    </row>
    <row r="175" spans="1:6" x14ac:dyDescent="0.3">
      <c r="A175" t="s">
        <v>595</v>
      </c>
      <c r="B175" s="70" t="s">
        <v>41</v>
      </c>
      <c r="C175" s="70">
        <v>1</v>
      </c>
      <c r="D175" s="75" t="s">
        <v>1014</v>
      </c>
      <c r="F175" t="str">
        <f t="shared" si="2"/>
        <v>update unidad set gobernada = 1, fechagobernada = '2024-10-29' where name = 'TLEA-227';</v>
      </c>
    </row>
    <row r="176" spans="1:6" x14ac:dyDescent="0.3">
      <c r="A176" t="s">
        <v>598</v>
      </c>
      <c r="B176" s="70" t="s">
        <v>33</v>
      </c>
      <c r="C176" s="70">
        <v>0</v>
      </c>
      <c r="D176" s="74" t="s">
        <v>975</v>
      </c>
      <c r="F176" t="str">
        <f t="shared" si="2"/>
        <v>update unidad set gobernada = 0, fechagobernada = null' where name = 'TLEA-228';</v>
      </c>
    </row>
    <row r="177" spans="1:6" x14ac:dyDescent="0.3">
      <c r="A177" t="s">
        <v>601</v>
      </c>
      <c r="B177" s="70" t="s">
        <v>33</v>
      </c>
      <c r="C177" s="70">
        <v>0</v>
      </c>
      <c r="D177" s="74" t="s">
        <v>975</v>
      </c>
      <c r="F177" t="str">
        <f t="shared" si="2"/>
        <v>update unidad set gobernada = 0, fechagobernada = null' where name = 'TLEA-229';</v>
      </c>
    </row>
    <row r="178" spans="1:6" x14ac:dyDescent="0.3">
      <c r="A178" t="s">
        <v>604</v>
      </c>
      <c r="B178" s="70" t="s">
        <v>33</v>
      </c>
      <c r="C178" s="70">
        <v>0</v>
      </c>
      <c r="D178" s="74" t="s">
        <v>975</v>
      </c>
      <c r="F178" t="str">
        <f t="shared" si="2"/>
        <v>update unidad set gobernada = 0, fechagobernada = null' where name = 'TLEA-230';</v>
      </c>
    </row>
    <row r="179" spans="1:6" x14ac:dyDescent="0.3">
      <c r="A179" t="s">
        <v>607</v>
      </c>
      <c r="B179" s="70" t="s">
        <v>41</v>
      </c>
      <c r="C179" s="70">
        <v>1</v>
      </c>
      <c r="D179" s="75" t="s">
        <v>995</v>
      </c>
      <c r="F179" t="str">
        <f t="shared" si="2"/>
        <v>update unidad set gobernada = 1, fechagobernada = '2024-10-22' where name = 'TLEA-231';</v>
      </c>
    </row>
    <row r="180" spans="1:6" x14ac:dyDescent="0.3">
      <c r="A180" t="s">
        <v>610</v>
      </c>
      <c r="B180" s="70" t="s">
        <v>33</v>
      </c>
      <c r="C180" s="70">
        <v>0</v>
      </c>
      <c r="D180" s="74" t="s">
        <v>975</v>
      </c>
      <c r="F180" t="str">
        <f t="shared" si="2"/>
        <v>update unidad set gobernada = 0, fechagobernada = null' where name = 'TLEA-232';</v>
      </c>
    </row>
    <row r="181" spans="1:6" x14ac:dyDescent="0.3">
      <c r="A181" t="s">
        <v>613</v>
      </c>
      <c r="B181" s="70" t="s">
        <v>41</v>
      </c>
      <c r="C181" s="70">
        <v>1</v>
      </c>
      <c r="D181" s="75" t="s">
        <v>976</v>
      </c>
      <c r="F181" t="str">
        <f t="shared" si="2"/>
        <v>update unidad set gobernada = 1, fechagobernada = '2024-08-01' where name = 'TLEA-233';</v>
      </c>
    </row>
    <row r="182" spans="1:6" x14ac:dyDescent="0.3">
      <c r="A182" t="s">
        <v>616</v>
      </c>
      <c r="B182" s="70" t="s">
        <v>33</v>
      </c>
      <c r="C182" s="70">
        <v>0</v>
      </c>
      <c r="D182" s="74" t="s">
        <v>975</v>
      </c>
      <c r="F182" t="str">
        <f t="shared" si="2"/>
        <v>update unidad set gobernada = 0, fechagobernada = null' where name = 'TLEA-234';</v>
      </c>
    </row>
    <row r="183" spans="1:6" x14ac:dyDescent="0.3">
      <c r="A183" t="s">
        <v>619</v>
      </c>
      <c r="B183" s="70" t="s">
        <v>41</v>
      </c>
      <c r="C183" s="70">
        <v>1</v>
      </c>
      <c r="D183" s="75" t="s">
        <v>995</v>
      </c>
      <c r="F183" t="str">
        <f t="shared" si="2"/>
        <v>update unidad set gobernada = 1, fechagobernada = '2024-10-22' where name = 'TLEA-235';</v>
      </c>
    </row>
    <row r="184" spans="1:6" x14ac:dyDescent="0.3">
      <c r="A184" t="s">
        <v>622</v>
      </c>
      <c r="B184" s="70" t="s">
        <v>33</v>
      </c>
      <c r="C184" s="70">
        <v>0</v>
      </c>
      <c r="D184" s="74" t="s">
        <v>975</v>
      </c>
      <c r="F184" t="str">
        <f t="shared" si="2"/>
        <v>update unidad set gobernada = 0, fechagobernada = null' where name = 'TLEA-236';</v>
      </c>
    </row>
    <row r="185" spans="1:6" x14ac:dyDescent="0.3">
      <c r="A185" t="s">
        <v>625</v>
      </c>
      <c r="B185" s="70" t="s">
        <v>33</v>
      </c>
      <c r="C185" s="70">
        <v>0</v>
      </c>
      <c r="D185" s="74" t="s">
        <v>975</v>
      </c>
      <c r="F185" t="str">
        <f t="shared" si="2"/>
        <v>update unidad set gobernada = 0, fechagobernada = null' where name = 'TLEA-237';</v>
      </c>
    </row>
    <row r="186" spans="1:6" x14ac:dyDescent="0.3">
      <c r="A186" t="s">
        <v>628</v>
      </c>
      <c r="B186" s="70" t="s">
        <v>33</v>
      </c>
      <c r="C186" s="70">
        <v>0</v>
      </c>
      <c r="D186" s="74" t="s">
        <v>975</v>
      </c>
      <c r="F186" t="str">
        <f t="shared" si="2"/>
        <v>update unidad set gobernada = 0, fechagobernada = null' where name = 'TLEA-238';</v>
      </c>
    </row>
    <row r="187" spans="1:6" x14ac:dyDescent="0.3">
      <c r="A187" t="s">
        <v>631</v>
      </c>
      <c r="B187" s="70" t="s">
        <v>41</v>
      </c>
      <c r="C187" s="70">
        <v>1</v>
      </c>
      <c r="D187" s="75" t="s">
        <v>976</v>
      </c>
      <c r="F187" t="str">
        <f t="shared" si="2"/>
        <v>update unidad set gobernada = 1, fechagobernada = '2024-08-01' where name = 'TLEA-239';</v>
      </c>
    </row>
    <row r="188" spans="1:6" x14ac:dyDescent="0.3">
      <c r="A188" t="s">
        <v>634</v>
      </c>
      <c r="B188" s="70" t="s">
        <v>33</v>
      </c>
      <c r="C188" s="70">
        <v>0</v>
      </c>
      <c r="D188" s="74" t="s">
        <v>975</v>
      </c>
      <c r="F188" t="str">
        <f t="shared" si="2"/>
        <v>update unidad set gobernada = 0, fechagobernada = null' where name = 'TLEA-240';</v>
      </c>
    </row>
    <row r="189" spans="1:6" x14ac:dyDescent="0.3">
      <c r="A189" t="s">
        <v>637</v>
      </c>
      <c r="B189" s="70" t="s">
        <v>41</v>
      </c>
      <c r="C189" s="70">
        <v>1</v>
      </c>
      <c r="D189" s="75" t="s">
        <v>978</v>
      </c>
      <c r="F189" t="str">
        <f t="shared" si="2"/>
        <v>update unidad set gobernada = 1, fechagobernada = '2024-10-07' where name = 'TLEA-241';</v>
      </c>
    </row>
    <row r="190" spans="1:6" x14ac:dyDescent="0.3">
      <c r="A190" t="s">
        <v>640</v>
      </c>
      <c r="B190" s="70" t="s">
        <v>33</v>
      </c>
      <c r="C190" s="70">
        <v>0</v>
      </c>
      <c r="D190" s="74" t="s">
        <v>975</v>
      </c>
      <c r="F190" t="str">
        <f t="shared" si="2"/>
        <v>update unidad set gobernada = 0, fechagobernada = null' where name = 'TLEA-242';</v>
      </c>
    </row>
    <row r="191" spans="1:6" x14ac:dyDescent="0.3">
      <c r="A191" t="s">
        <v>643</v>
      </c>
      <c r="B191" s="70" t="s">
        <v>41</v>
      </c>
      <c r="C191" s="70">
        <v>1</v>
      </c>
      <c r="D191" s="75" t="s">
        <v>978</v>
      </c>
      <c r="F191" t="str">
        <f t="shared" si="2"/>
        <v>update unidad set gobernada = 1, fechagobernada = '2024-10-07' where name = 'TLEA-243';</v>
      </c>
    </row>
    <row r="192" spans="1:6" x14ac:dyDescent="0.3">
      <c r="A192" t="s">
        <v>646</v>
      </c>
      <c r="B192" s="70" t="s">
        <v>41</v>
      </c>
      <c r="C192" s="70">
        <v>1</v>
      </c>
      <c r="D192" s="75" t="s">
        <v>1015</v>
      </c>
      <c r="F192" t="str">
        <f t="shared" si="2"/>
        <v>update unidad set gobernada = 1, fechagobernada = '2024-09-07' where name = 'TLEA-244';</v>
      </c>
    </row>
    <row r="193" spans="1:6" x14ac:dyDescent="0.3">
      <c r="A193" t="s">
        <v>649</v>
      </c>
      <c r="B193" s="70" t="s">
        <v>41</v>
      </c>
      <c r="C193" s="70">
        <v>1</v>
      </c>
      <c r="D193" s="75" t="s">
        <v>1016</v>
      </c>
      <c r="F193" t="str">
        <f t="shared" si="2"/>
        <v>update unidad set gobernada = 1, fechagobernada = '2024-10-02' where name = 'TLEA-245';</v>
      </c>
    </row>
    <row r="194" spans="1:6" x14ac:dyDescent="0.3">
      <c r="A194" t="s">
        <v>652</v>
      </c>
      <c r="B194" s="70" t="s">
        <v>41</v>
      </c>
      <c r="C194" s="70">
        <v>1</v>
      </c>
      <c r="D194" s="75" t="s">
        <v>978</v>
      </c>
      <c r="F194" t="str">
        <f t="shared" si="2"/>
        <v>update unidad set gobernada = 1, fechagobernada = '2024-10-07' where name = 'TLEA-246';</v>
      </c>
    </row>
    <row r="195" spans="1:6" x14ac:dyDescent="0.3">
      <c r="A195" t="s">
        <v>655</v>
      </c>
      <c r="B195" s="70" t="s">
        <v>41</v>
      </c>
      <c r="C195" s="70">
        <v>1</v>
      </c>
      <c r="D195" s="75" t="s">
        <v>990</v>
      </c>
      <c r="F195" t="str">
        <f t="shared" ref="F195:F258" si="3">CONCATENATE("update unidad set gobernada = ", C195,", fechagobernada = ",D195,"' where name = '",A195,"';")</f>
        <v>update unidad set gobernada = 1, fechagobernada = '2024-08-09' where name = 'TLEA-247';</v>
      </c>
    </row>
    <row r="196" spans="1:6" x14ac:dyDescent="0.3">
      <c r="A196" t="s">
        <v>658</v>
      </c>
      <c r="B196" s="70" t="s">
        <v>41</v>
      </c>
      <c r="C196" s="70">
        <v>1</v>
      </c>
      <c r="D196" s="75" t="s">
        <v>1017</v>
      </c>
      <c r="F196" t="str">
        <f t="shared" si="3"/>
        <v>update unidad set gobernada = 1, fechagobernada = '2024-09-24' where name = 'TLEA-248';</v>
      </c>
    </row>
    <row r="197" spans="1:6" x14ac:dyDescent="0.3">
      <c r="A197" t="s">
        <v>661</v>
      </c>
      <c r="B197" s="70" t="s">
        <v>33</v>
      </c>
      <c r="C197" s="70">
        <v>0</v>
      </c>
      <c r="D197" s="74" t="s">
        <v>975</v>
      </c>
      <c r="F197" t="str">
        <f t="shared" si="3"/>
        <v>update unidad set gobernada = 0, fechagobernada = null' where name = 'TLEA-249';</v>
      </c>
    </row>
    <row r="198" spans="1:6" x14ac:dyDescent="0.3">
      <c r="A198" t="s">
        <v>664</v>
      </c>
      <c r="B198" s="70" t="s">
        <v>41</v>
      </c>
      <c r="C198" s="70">
        <v>1</v>
      </c>
      <c r="D198" s="75" t="s">
        <v>994</v>
      </c>
      <c r="F198" t="str">
        <f t="shared" si="3"/>
        <v>update unidad set gobernada = 1, fechagobernada = '2024-08-14' where name = 'TLEA-250';</v>
      </c>
    </row>
    <row r="199" spans="1:6" x14ac:dyDescent="0.3">
      <c r="A199" t="s">
        <v>667</v>
      </c>
      <c r="B199" s="70" t="s">
        <v>33</v>
      </c>
      <c r="C199" s="70">
        <v>0</v>
      </c>
      <c r="D199" s="74" t="s">
        <v>975</v>
      </c>
      <c r="F199" t="str">
        <f t="shared" si="3"/>
        <v>update unidad set gobernada = 0, fechagobernada = null' where name = 'TLEA-251';</v>
      </c>
    </row>
    <row r="200" spans="1:6" x14ac:dyDescent="0.3">
      <c r="A200" t="s">
        <v>670</v>
      </c>
      <c r="B200" s="70" t="s">
        <v>41</v>
      </c>
      <c r="C200" s="70">
        <v>1</v>
      </c>
      <c r="D200" s="75" t="s">
        <v>994</v>
      </c>
      <c r="F200" t="str">
        <f t="shared" si="3"/>
        <v>update unidad set gobernada = 1, fechagobernada = '2024-08-14' where name = 'TLEA-252';</v>
      </c>
    </row>
    <row r="201" spans="1:6" x14ac:dyDescent="0.3">
      <c r="A201" t="s">
        <v>673</v>
      </c>
      <c r="B201" s="70" t="s">
        <v>41</v>
      </c>
      <c r="C201" s="70">
        <v>1</v>
      </c>
      <c r="D201" s="75" t="s">
        <v>1018</v>
      </c>
      <c r="F201" t="str">
        <f t="shared" si="3"/>
        <v>update unidad set gobernada = 1, fechagobernada = '2024-08-29' where name = 'TLEA-253';</v>
      </c>
    </row>
    <row r="202" spans="1:6" x14ac:dyDescent="0.3">
      <c r="A202" t="s">
        <v>676</v>
      </c>
      <c r="B202" s="70" t="s">
        <v>41</v>
      </c>
      <c r="C202" s="70">
        <v>1</v>
      </c>
      <c r="D202" s="75" t="s">
        <v>1019</v>
      </c>
      <c r="F202" t="str">
        <f t="shared" si="3"/>
        <v>update unidad set gobernada = 1, fechagobernada = '2024-09-03' where name = 'TLEA-254';</v>
      </c>
    </row>
    <row r="203" spans="1:6" x14ac:dyDescent="0.3">
      <c r="A203" t="s">
        <v>679</v>
      </c>
      <c r="B203" s="70" t="s">
        <v>41</v>
      </c>
      <c r="C203" s="70">
        <v>1</v>
      </c>
      <c r="D203" s="75" t="s">
        <v>1001</v>
      </c>
      <c r="F203" t="str">
        <f t="shared" si="3"/>
        <v>update unidad set gobernada = 1, fechagobernada = '2024-09-10' where name = 'TLEA-255';</v>
      </c>
    </row>
    <row r="204" spans="1:6" x14ac:dyDescent="0.3">
      <c r="A204" t="s">
        <v>682</v>
      </c>
      <c r="B204" s="70" t="s">
        <v>41</v>
      </c>
      <c r="C204" s="70">
        <v>1</v>
      </c>
      <c r="D204" s="75" t="s">
        <v>1014</v>
      </c>
      <c r="F204" t="str">
        <f t="shared" si="3"/>
        <v>update unidad set gobernada = 1, fechagobernada = '2024-10-29' where name = 'TLEA-256';</v>
      </c>
    </row>
    <row r="205" spans="1:6" x14ac:dyDescent="0.3">
      <c r="A205" t="s">
        <v>685</v>
      </c>
      <c r="B205" s="70" t="s">
        <v>41</v>
      </c>
      <c r="C205" s="70">
        <v>1</v>
      </c>
      <c r="D205" s="75" t="s">
        <v>1011</v>
      </c>
      <c r="F205" t="str">
        <f t="shared" si="3"/>
        <v>update unidad set gobernada = 1, fechagobernada = '2024-09-18' where name = 'TLEA-257';</v>
      </c>
    </row>
    <row r="206" spans="1:6" x14ac:dyDescent="0.3">
      <c r="A206" t="s">
        <v>688</v>
      </c>
      <c r="B206" s="70" t="s">
        <v>33</v>
      </c>
      <c r="C206" s="70">
        <v>0</v>
      </c>
      <c r="D206" s="74" t="s">
        <v>975</v>
      </c>
      <c r="F206" t="str">
        <f t="shared" si="3"/>
        <v>update unidad set gobernada = 0, fechagobernada = null' where name = 'TLEA-258';</v>
      </c>
    </row>
    <row r="207" spans="1:6" x14ac:dyDescent="0.3">
      <c r="A207" t="s">
        <v>691</v>
      </c>
      <c r="B207" s="70" t="s">
        <v>33</v>
      </c>
      <c r="C207" s="70">
        <v>0</v>
      </c>
      <c r="D207" s="74" t="s">
        <v>975</v>
      </c>
      <c r="F207" t="str">
        <f t="shared" si="3"/>
        <v>update unidad set gobernada = 0, fechagobernada = null' where name = 'TLEA-259';</v>
      </c>
    </row>
    <row r="208" spans="1:6" x14ac:dyDescent="0.3">
      <c r="A208" t="s">
        <v>694</v>
      </c>
      <c r="B208" s="70" t="s">
        <v>41</v>
      </c>
      <c r="C208" s="70">
        <v>1</v>
      </c>
      <c r="D208" s="75" t="s">
        <v>1020</v>
      </c>
      <c r="F208" t="str">
        <f t="shared" si="3"/>
        <v>update unidad set gobernada = 1, fechagobernada = '2024-10-17' where name = 'TLEA-260';</v>
      </c>
    </row>
    <row r="209" spans="1:6" x14ac:dyDescent="0.3">
      <c r="A209" t="s">
        <v>697</v>
      </c>
      <c r="B209" s="70" t="s">
        <v>33</v>
      </c>
      <c r="C209" s="70">
        <v>0</v>
      </c>
      <c r="D209" s="74" t="s">
        <v>975</v>
      </c>
      <c r="F209" t="str">
        <f t="shared" si="3"/>
        <v>update unidad set gobernada = 0, fechagobernada = null' where name = 'TLEA-261';</v>
      </c>
    </row>
    <row r="210" spans="1:6" x14ac:dyDescent="0.3">
      <c r="A210" t="s">
        <v>700</v>
      </c>
      <c r="B210" s="70" t="s">
        <v>33</v>
      </c>
      <c r="C210" s="70">
        <v>0</v>
      </c>
      <c r="D210" s="74" t="s">
        <v>975</v>
      </c>
      <c r="F210" t="str">
        <f t="shared" si="3"/>
        <v>update unidad set gobernada = 0, fechagobernada = null' where name = 'TLEA-262';</v>
      </c>
    </row>
    <row r="211" spans="1:6" x14ac:dyDescent="0.3">
      <c r="A211" t="s">
        <v>703</v>
      </c>
      <c r="B211" s="70" t="s">
        <v>33</v>
      </c>
      <c r="C211" s="70">
        <v>0</v>
      </c>
      <c r="D211" s="74" t="s">
        <v>975</v>
      </c>
      <c r="F211" t="str">
        <f t="shared" si="3"/>
        <v>update unidad set gobernada = 0, fechagobernada = null' where name = 'TLEA-263';</v>
      </c>
    </row>
    <row r="212" spans="1:6" x14ac:dyDescent="0.3">
      <c r="A212" t="s">
        <v>706</v>
      </c>
      <c r="B212" s="70" t="s">
        <v>41</v>
      </c>
      <c r="C212" s="70">
        <v>1</v>
      </c>
      <c r="D212" s="75" t="s">
        <v>1004</v>
      </c>
      <c r="F212" t="str">
        <f t="shared" si="3"/>
        <v>update unidad set gobernada = 1, fechagobernada = '2024-09-13' where name = 'TLEA-264';</v>
      </c>
    </row>
    <row r="213" spans="1:6" x14ac:dyDescent="0.3">
      <c r="A213" t="s">
        <v>709</v>
      </c>
      <c r="B213" s="70" t="s">
        <v>41</v>
      </c>
      <c r="C213" s="70">
        <v>1</v>
      </c>
      <c r="D213" s="75" t="s">
        <v>1007</v>
      </c>
      <c r="F213" t="str">
        <f t="shared" si="3"/>
        <v>update unidad set gobernada = 1, fechagobernada = '2024-09-11' where name = 'TLEA-265';</v>
      </c>
    </row>
    <row r="214" spans="1:6" x14ac:dyDescent="0.3">
      <c r="A214" t="s">
        <v>712</v>
      </c>
      <c r="B214" s="70" t="s">
        <v>33</v>
      </c>
      <c r="C214" s="70">
        <v>0</v>
      </c>
      <c r="D214" s="74" t="s">
        <v>975</v>
      </c>
      <c r="F214" t="str">
        <f t="shared" si="3"/>
        <v>update unidad set gobernada = 0, fechagobernada = null' where name = 'TLEA-266';</v>
      </c>
    </row>
    <row r="215" spans="1:6" x14ac:dyDescent="0.3">
      <c r="A215" t="s">
        <v>715</v>
      </c>
      <c r="B215" s="70" t="s">
        <v>41</v>
      </c>
      <c r="C215" s="70">
        <v>1</v>
      </c>
      <c r="D215" s="75" t="s">
        <v>1010</v>
      </c>
      <c r="F215" t="str">
        <f t="shared" si="3"/>
        <v>update unidad set gobernada = 1, fechagobernada = '2024-10-30' where name = 'TLEA-267';</v>
      </c>
    </row>
    <row r="216" spans="1:6" x14ac:dyDescent="0.3">
      <c r="A216" t="s">
        <v>718</v>
      </c>
      <c r="B216" s="70" t="s">
        <v>41</v>
      </c>
      <c r="C216" s="70">
        <v>1</v>
      </c>
      <c r="D216" s="75" t="s">
        <v>1004</v>
      </c>
      <c r="F216" t="str">
        <f t="shared" si="3"/>
        <v>update unidad set gobernada = 1, fechagobernada = '2024-09-13' where name = 'TLEA-268';</v>
      </c>
    </row>
    <row r="217" spans="1:6" x14ac:dyDescent="0.3">
      <c r="A217" t="s">
        <v>721</v>
      </c>
      <c r="B217" s="70" t="s">
        <v>41</v>
      </c>
      <c r="C217" s="70">
        <v>1</v>
      </c>
      <c r="D217" s="75" t="s">
        <v>1003</v>
      </c>
      <c r="F217" t="str">
        <f t="shared" si="3"/>
        <v>update unidad set gobernada = 1, fechagobernada = '2024-10-26' where name = 'TLEA-269';</v>
      </c>
    </row>
    <row r="218" spans="1:6" x14ac:dyDescent="0.3">
      <c r="A218" t="s">
        <v>724</v>
      </c>
      <c r="B218" s="70" t="s">
        <v>41</v>
      </c>
      <c r="C218" s="70">
        <v>1</v>
      </c>
      <c r="D218" s="75" t="s">
        <v>1015</v>
      </c>
      <c r="F218" t="str">
        <f t="shared" si="3"/>
        <v>update unidad set gobernada = 1, fechagobernada = '2024-09-07' where name = 'TLEA-270';</v>
      </c>
    </row>
    <row r="219" spans="1:6" x14ac:dyDescent="0.3">
      <c r="A219" t="s">
        <v>727</v>
      </c>
      <c r="B219" s="70" t="s">
        <v>41</v>
      </c>
      <c r="C219" s="70">
        <v>1</v>
      </c>
      <c r="D219" s="75" t="s">
        <v>1013</v>
      </c>
      <c r="F219" t="str">
        <f t="shared" si="3"/>
        <v>update unidad set gobernada = 1, fechagobernada = '2024-09-19' where name = 'TLEA-271';</v>
      </c>
    </row>
    <row r="220" spans="1:6" x14ac:dyDescent="0.3">
      <c r="A220" t="s">
        <v>730</v>
      </c>
      <c r="B220" s="70" t="s">
        <v>41</v>
      </c>
      <c r="C220" s="70">
        <v>1</v>
      </c>
      <c r="D220" s="75" t="s">
        <v>984</v>
      </c>
      <c r="F220" t="str">
        <f t="shared" si="3"/>
        <v>update unidad set gobernada = 1, fechagobernada = '2024-11-14' where name = 'TLEA-272';</v>
      </c>
    </row>
    <row r="221" spans="1:6" x14ac:dyDescent="0.3">
      <c r="A221" t="s">
        <v>733</v>
      </c>
      <c r="B221" s="70" t="s">
        <v>33</v>
      </c>
      <c r="C221" s="70">
        <v>0</v>
      </c>
      <c r="D221" s="74" t="s">
        <v>975</v>
      </c>
      <c r="F221" t="str">
        <f t="shared" si="3"/>
        <v>update unidad set gobernada = 0, fechagobernada = null' where name = 'TLEA-273';</v>
      </c>
    </row>
    <row r="222" spans="1:6" x14ac:dyDescent="0.3">
      <c r="A222" t="s">
        <v>736</v>
      </c>
      <c r="B222" s="70" t="s">
        <v>33</v>
      </c>
      <c r="C222" s="70">
        <v>0</v>
      </c>
      <c r="D222" s="74" t="s">
        <v>975</v>
      </c>
      <c r="F222" t="str">
        <f t="shared" si="3"/>
        <v>update unidad set gobernada = 0, fechagobernada = null' where name = 'TLEA-274';</v>
      </c>
    </row>
    <row r="223" spans="1:6" x14ac:dyDescent="0.3">
      <c r="A223" t="s">
        <v>739</v>
      </c>
      <c r="B223" s="70" t="s">
        <v>41</v>
      </c>
      <c r="C223" s="70">
        <v>1</v>
      </c>
      <c r="D223" s="75" t="s">
        <v>1000</v>
      </c>
      <c r="F223" t="str">
        <f t="shared" si="3"/>
        <v>update unidad set gobernada = 1, fechagobernada = '2024-09-21' where name = 'TLEA-275';</v>
      </c>
    </row>
    <row r="224" spans="1:6" x14ac:dyDescent="0.3">
      <c r="A224" t="s">
        <v>742</v>
      </c>
      <c r="B224" s="70" t="s">
        <v>41</v>
      </c>
      <c r="C224" s="70">
        <v>1</v>
      </c>
      <c r="D224" s="75" t="s">
        <v>978</v>
      </c>
      <c r="F224" t="str">
        <f t="shared" si="3"/>
        <v>update unidad set gobernada = 1, fechagobernada = '2024-10-07' where name = 'TLEA-276';</v>
      </c>
    </row>
    <row r="225" spans="1:6" x14ac:dyDescent="0.3">
      <c r="A225" t="s">
        <v>745</v>
      </c>
      <c r="B225" s="70" t="s">
        <v>33</v>
      </c>
      <c r="C225" s="70">
        <v>0</v>
      </c>
      <c r="D225" s="74" t="s">
        <v>975</v>
      </c>
      <c r="F225" t="str">
        <f t="shared" si="3"/>
        <v>update unidad set gobernada = 0, fechagobernada = null' where name = 'TLEA-277';</v>
      </c>
    </row>
    <row r="226" spans="1:6" x14ac:dyDescent="0.3">
      <c r="A226" t="s">
        <v>748</v>
      </c>
      <c r="B226" s="70" t="s">
        <v>33</v>
      </c>
      <c r="C226" s="70">
        <v>1</v>
      </c>
      <c r="D226" s="75" t="s">
        <v>1021</v>
      </c>
      <c r="F226" t="str">
        <f t="shared" si="3"/>
        <v>update unidad set gobernada = 1, fechagobernada = '2024-10-16' where name = 'TLEA-278';</v>
      </c>
    </row>
    <row r="227" spans="1:6" x14ac:dyDescent="0.3">
      <c r="A227" t="s">
        <v>751</v>
      </c>
      <c r="B227" s="70" t="s">
        <v>41</v>
      </c>
      <c r="C227" s="70">
        <v>1</v>
      </c>
      <c r="D227" s="75" t="s">
        <v>978</v>
      </c>
      <c r="F227" t="str">
        <f t="shared" si="3"/>
        <v>update unidad set gobernada = 1, fechagobernada = '2024-10-07' where name = 'TLEA-279';</v>
      </c>
    </row>
    <row r="228" spans="1:6" x14ac:dyDescent="0.3">
      <c r="A228" t="s">
        <v>754</v>
      </c>
      <c r="B228" s="70" t="s">
        <v>41</v>
      </c>
      <c r="C228" s="70">
        <v>1</v>
      </c>
      <c r="D228" s="75" t="s">
        <v>1022</v>
      </c>
      <c r="F228" t="str">
        <f t="shared" si="3"/>
        <v>update unidad set gobernada = 1, fechagobernada = '2024-10-28' where name = 'TLEA-280';</v>
      </c>
    </row>
    <row r="229" spans="1:6" x14ac:dyDescent="0.3">
      <c r="A229" t="s">
        <v>757</v>
      </c>
      <c r="B229" s="70" t="s">
        <v>41</v>
      </c>
      <c r="C229" s="70">
        <v>1</v>
      </c>
      <c r="D229" s="75" t="s">
        <v>984</v>
      </c>
      <c r="F229" t="str">
        <f t="shared" si="3"/>
        <v>update unidad set gobernada = 1, fechagobernada = '2024-11-14' where name = 'TLEA-281';</v>
      </c>
    </row>
    <row r="230" spans="1:6" x14ac:dyDescent="0.3">
      <c r="A230" t="s">
        <v>760</v>
      </c>
      <c r="B230" s="70" t="s">
        <v>33</v>
      </c>
      <c r="C230" s="70">
        <v>0</v>
      </c>
      <c r="D230" s="74" t="s">
        <v>975</v>
      </c>
      <c r="F230" t="str">
        <f t="shared" si="3"/>
        <v>update unidad set gobernada = 0, fechagobernada = null' where name = 'TLEA-283';</v>
      </c>
    </row>
    <row r="231" spans="1:6" x14ac:dyDescent="0.3">
      <c r="A231" t="s">
        <v>763</v>
      </c>
      <c r="B231" s="70" t="s">
        <v>41</v>
      </c>
      <c r="C231" s="70">
        <v>1</v>
      </c>
      <c r="D231" s="75" t="s">
        <v>984</v>
      </c>
      <c r="F231" t="str">
        <f t="shared" si="3"/>
        <v>update unidad set gobernada = 1, fechagobernada = '2024-11-14' where name = 'TLEA-284';</v>
      </c>
    </row>
    <row r="232" spans="1:6" x14ac:dyDescent="0.3">
      <c r="A232" t="s">
        <v>766</v>
      </c>
      <c r="B232" s="70" t="s">
        <v>33</v>
      </c>
      <c r="C232" s="70">
        <v>0</v>
      </c>
      <c r="D232" s="74" t="s">
        <v>975</v>
      </c>
      <c r="F232" t="str">
        <f t="shared" si="3"/>
        <v>update unidad set gobernada = 0, fechagobernada = null' where name = 'TLEA-285';</v>
      </c>
    </row>
    <row r="233" spans="1:6" x14ac:dyDescent="0.3">
      <c r="A233" t="s">
        <v>769</v>
      </c>
      <c r="B233" s="70" t="s">
        <v>33</v>
      </c>
      <c r="C233" s="70">
        <v>0</v>
      </c>
      <c r="D233" s="74" t="s">
        <v>975</v>
      </c>
      <c r="F233" t="str">
        <f t="shared" si="3"/>
        <v>update unidad set gobernada = 0, fechagobernada = null' where name = 'TLEA-287';</v>
      </c>
    </row>
    <row r="234" spans="1:6" x14ac:dyDescent="0.3">
      <c r="A234" t="s">
        <v>772</v>
      </c>
      <c r="B234" s="70" t="s">
        <v>41</v>
      </c>
      <c r="C234" s="70">
        <v>1</v>
      </c>
      <c r="D234" s="75" t="s">
        <v>984</v>
      </c>
      <c r="F234" t="str">
        <f t="shared" si="3"/>
        <v>update unidad set gobernada = 1, fechagobernada = '2024-11-14' where name = 'TLEA-288';</v>
      </c>
    </row>
    <row r="235" spans="1:6" x14ac:dyDescent="0.3">
      <c r="A235" t="s">
        <v>775</v>
      </c>
      <c r="B235" s="70" t="s">
        <v>33</v>
      </c>
      <c r="C235" s="70">
        <v>0</v>
      </c>
      <c r="D235" s="74" t="s">
        <v>975</v>
      </c>
      <c r="F235" t="str">
        <f t="shared" si="3"/>
        <v>update unidad set gobernada = 0, fechagobernada = null' where name = 'TLEA-289';</v>
      </c>
    </row>
    <row r="236" spans="1:6" x14ac:dyDescent="0.3">
      <c r="A236" t="s">
        <v>778</v>
      </c>
      <c r="B236" s="70" t="s">
        <v>41</v>
      </c>
      <c r="C236" s="70">
        <v>1</v>
      </c>
      <c r="D236" s="75" t="s">
        <v>986</v>
      </c>
      <c r="F236" t="str">
        <f t="shared" si="3"/>
        <v>update unidad set gobernada = 1, fechagobernada = '2024-11-13' where name = 'TLEA-290';</v>
      </c>
    </row>
    <row r="237" spans="1:6" x14ac:dyDescent="0.3">
      <c r="A237" t="s">
        <v>781</v>
      </c>
      <c r="B237" s="70" t="s">
        <v>33</v>
      </c>
      <c r="C237" s="70">
        <v>0</v>
      </c>
      <c r="D237" s="74" t="s">
        <v>975</v>
      </c>
      <c r="F237" t="str">
        <f t="shared" si="3"/>
        <v>update unidad set gobernada = 0, fechagobernada = null' where name = 'TLEA-291';</v>
      </c>
    </row>
    <row r="238" spans="1:6" x14ac:dyDescent="0.3">
      <c r="A238" t="s">
        <v>784</v>
      </c>
      <c r="B238" s="70" t="s">
        <v>33</v>
      </c>
      <c r="C238" s="70">
        <v>0</v>
      </c>
      <c r="D238" s="74" t="s">
        <v>975</v>
      </c>
      <c r="F238" t="str">
        <f t="shared" si="3"/>
        <v>update unidad set gobernada = 0, fechagobernada = null' where name = 'TLEA-292';</v>
      </c>
    </row>
    <row r="239" spans="1:6" x14ac:dyDescent="0.3">
      <c r="A239" t="s">
        <v>787</v>
      </c>
      <c r="B239" s="70" t="s">
        <v>41</v>
      </c>
      <c r="C239" s="70">
        <v>1</v>
      </c>
      <c r="D239" s="75" t="s">
        <v>984</v>
      </c>
      <c r="F239" t="str">
        <f t="shared" si="3"/>
        <v>update unidad set gobernada = 1, fechagobernada = '2024-11-14' where name = 'TLEA-293';</v>
      </c>
    </row>
    <row r="240" spans="1:6" x14ac:dyDescent="0.3">
      <c r="A240" t="s">
        <v>790</v>
      </c>
      <c r="B240" s="70" t="s">
        <v>41</v>
      </c>
      <c r="C240" s="70">
        <v>1</v>
      </c>
      <c r="D240" s="75" t="s">
        <v>1009</v>
      </c>
      <c r="F240" t="str">
        <f t="shared" si="3"/>
        <v>update unidad set gobernada = 1, fechagobernada = '2024-10-09' where name = 'TLEA-294';</v>
      </c>
    </row>
    <row r="241" spans="1:6" x14ac:dyDescent="0.3">
      <c r="A241" t="s">
        <v>793</v>
      </c>
      <c r="B241" s="70" t="s">
        <v>41</v>
      </c>
      <c r="C241" s="70">
        <v>1</v>
      </c>
      <c r="D241" s="75" t="s">
        <v>991</v>
      </c>
      <c r="F241" t="str">
        <f t="shared" si="3"/>
        <v>update unidad set gobernada = 1, fechagobernada = '2024-11-15' where name = 'TLEA-295';</v>
      </c>
    </row>
    <row r="242" spans="1:6" x14ac:dyDescent="0.3">
      <c r="A242" t="s">
        <v>796</v>
      </c>
      <c r="B242" s="70" t="s">
        <v>33</v>
      </c>
      <c r="C242" s="70">
        <v>0</v>
      </c>
      <c r="D242" s="74" t="s">
        <v>975</v>
      </c>
      <c r="F242" t="str">
        <f t="shared" si="3"/>
        <v>update unidad set gobernada = 0, fechagobernada = null' where name = 'TLEA-297';</v>
      </c>
    </row>
    <row r="243" spans="1:6" x14ac:dyDescent="0.3">
      <c r="A243" t="s">
        <v>799</v>
      </c>
      <c r="B243" s="70" t="s">
        <v>33</v>
      </c>
      <c r="C243" s="70">
        <v>0</v>
      </c>
      <c r="D243" s="74" t="s">
        <v>975</v>
      </c>
      <c r="F243" t="str">
        <f t="shared" si="3"/>
        <v>update unidad set gobernada = 0, fechagobernada = null' where name = 'TLEA-298';</v>
      </c>
    </row>
    <row r="244" spans="1:6" x14ac:dyDescent="0.3">
      <c r="A244" t="s">
        <v>802</v>
      </c>
      <c r="B244" s="70" t="s">
        <v>41</v>
      </c>
      <c r="C244" s="70">
        <v>1</v>
      </c>
      <c r="D244" s="75" t="s">
        <v>1016</v>
      </c>
      <c r="F244" t="str">
        <f t="shared" si="3"/>
        <v>update unidad set gobernada = 1, fechagobernada = '2024-10-02' where name = 'TLEA-299';</v>
      </c>
    </row>
    <row r="245" spans="1:6" x14ac:dyDescent="0.3">
      <c r="A245" t="s">
        <v>805</v>
      </c>
      <c r="B245" s="70" t="s">
        <v>33</v>
      </c>
      <c r="C245" s="70">
        <v>0</v>
      </c>
      <c r="D245" s="74" t="s">
        <v>975</v>
      </c>
      <c r="F245" t="str">
        <f t="shared" si="3"/>
        <v>update unidad set gobernada = 0, fechagobernada = null' where name = 'TLEA-301';</v>
      </c>
    </row>
    <row r="246" spans="1:6" x14ac:dyDescent="0.3">
      <c r="A246" t="s">
        <v>808</v>
      </c>
      <c r="B246" s="70" t="s">
        <v>41</v>
      </c>
      <c r="C246" s="70">
        <v>1</v>
      </c>
      <c r="D246" s="75" t="s">
        <v>1016</v>
      </c>
      <c r="F246" t="str">
        <f t="shared" si="3"/>
        <v>update unidad set gobernada = 1, fechagobernada = '2024-10-02' where name = 'TLEA-303';</v>
      </c>
    </row>
    <row r="247" spans="1:6" x14ac:dyDescent="0.3">
      <c r="A247" t="s">
        <v>811</v>
      </c>
      <c r="B247" s="70" t="s">
        <v>41</v>
      </c>
      <c r="C247" s="70">
        <v>1</v>
      </c>
      <c r="D247" s="75" t="s">
        <v>1023</v>
      </c>
      <c r="F247" t="str">
        <f t="shared" si="3"/>
        <v>update unidad set gobernada = 1, fechagobernada = '2024-09-12' where name = 'TLEA-305';</v>
      </c>
    </row>
    <row r="248" spans="1:6" x14ac:dyDescent="0.3">
      <c r="A248" t="s">
        <v>814</v>
      </c>
      <c r="B248" s="70" t="s">
        <v>33</v>
      </c>
      <c r="C248" s="70">
        <v>0</v>
      </c>
      <c r="D248" s="74" t="s">
        <v>975</v>
      </c>
      <c r="F248" t="str">
        <f t="shared" si="3"/>
        <v>update unidad set gobernada = 0, fechagobernada = null' where name = 'TLEA-306';</v>
      </c>
    </row>
    <row r="249" spans="1:6" x14ac:dyDescent="0.3">
      <c r="A249" t="s">
        <v>817</v>
      </c>
      <c r="B249" s="70" t="s">
        <v>41</v>
      </c>
      <c r="C249" s="70">
        <v>1</v>
      </c>
      <c r="D249" s="75" t="s">
        <v>978</v>
      </c>
      <c r="F249" t="str">
        <f t="shared" si="3"/>
        <v>update unidad set gobernada = 1, fechagobernada = '2024-10-07' where name = 'TLEA-307';</v>
      </c>
    </row>
    <row r="250" spans="1:6" x14ac:dyDescent="0.3">
      <c r="A250" t="s">
        <v>820</v>
      </c>
      <c r="B250" s="70" t="s">
        <v>33</v>
      </c>
      <c r="C250" s="70">
        <v>0</v>
      </c>
      <c r="D250" s="74" t="s">
        <v>975</v>
      </c>
      <c r="F250" t="str">
        <f t="shared" si="3"/>
        <v>update unidad set gobernada = 0, fechagobernada = null' where name = 'TLEA-308';</v>
      </c>
    </row>
    <row r="251" spans="1:6" x14ac:dyDescent="0.3">
      <c r="A251" t="s">
        <v>823</v>
      </c>
      <c r="B251" s="70" t="s">
        <v>33</v>
      </c>
      <c r="C251" s="70">
        <v>0</v>
      </c>
      <c r="D251" s="74" t="s">
        <v>975</v>
      </c>
      <c r="F251" t="str">
        <f t="shared" si="3"/>
        <v>update unidad set gobernada = 0, fechagobernada = null' where name = 'TLEA-309';</v>
      </c>
    </row>
    <row r="252" spans="1:6" x14ac:dyDescent="0.3">
      <c r="A252" t="s">
        <v>825</v>
      </c>
      <c r="B252" s="70" t="s">
        <v>41</v>
      </c>
      <c r="C252" s="70">
        <v>1</v>
      </c>
      <c r="D252" s="75" t="s">
        <v>1024</v>
      </c>
      <c r="F252" t="str">
        <f t="shared" si="3"/>
        <v>update unidad set gobernada = 1, fechagobernada = '2024-09-25' where name = 'TLEA-310';</v>
      </c>
    </row>
    <row r="253" spans="1:6" x14ac:dyDescent="0.3">
      <c r="A253" t="s">
        <v>828</v>
      </c>
      <c r="B253" s="70" t="s">
        <v>41</v>
      </c>
      <c r="C253" s="70">
        <v>1</v>
      </c>
      <c r="D253" s="75" t="s">
        <v>984</v>
      </c>
      <c r="F253" t="str">
        <f t="shared" si="3"/>
        <v>update unidad set gobernada = 1, fechagobernada = '2024-11-14' where name = 'TLEA-311';</v>
      </c>
    </row>
    <row r="254" spans="1:6" x14ac:dyDescent="0.3">
      <c r="A254" t="s">
        <v>831</v>
      </c>
      <c r="B254" s="70" t="s">
        <v>41</v>
      </c>
      <c r="C254" s="70">
        <v>1</v>
      </c>
      <c r="D254" s="75" t="s">
        <v>1023</v>
      </c>
      <c r="F254" t="str">
        <f t="shared" si="3"/>
        <v>update unidad set gobernada = 1, fechagobernada = '2024-09-12' where name = 'TLEA-312';</v>
      </c>
    </row>
    <row r="255" spans="1:6" x14ac:dyDescent="0.3">
      <c r="A255" t="s">
        <v>833</v>
      </c>
      <c r="B255" s="70" t="s">
        <v>41</v>
      </c>
      <c r="C255" s="70">
        <v>1</v>
      </c>
      <c r="D255" s="75" t="s">
        <v>976</v>
      </c>
      <c r="F255" t="str">
        <f t="shared" si="3"/>
        <v>update unidad set gobernada = 1, fechagobernada = '2024-08-01' where name = 'TLEA-313';</v>
      </c>
    </row>
    <row r="256" spans="1:6" x14ac:dyDescent="0.3">
      <c r="A256" t="s">
        <v>836</v>
      </c>
      <c r="B256" s="70" t="s">
        <v>33</v>
      </c>
      <c r="C256" s="70">
        <v>0</v>
      </c>
      <c r="D256" s="74" t="s">
        <v>975</v>
      </c>
      <c r="F256" t="str">
        <f t="shared" si="3"/>
        <v>update unidad set gobernada = 0, fechagobernada = null' where name = 'TLEA-314';</v>
      </c>
    </row>
    <row r="257" spans="1:6" x14ac:dyDescent="0.3">
      <c r="A257" t="s">
        <v>839</v>
      </c>
      <c r="B257" s="70" t="s">
        <v>33</v>
      </c>
      <c r="C257" s="70">
        <v>0</v>
      </c>
      <c r="D257" s="74" t="s">
        <v>975</v>
      </c>
      <c r="F257" t="str">
        <f t="shared" si="3"/>
        <v>update unidad set gobernada = 0, fechagobernada = null' where name = 'TLEA-315';</v>
      </c>
    </row>
    <row r="258" spans="1:6" x14ac:dyDescent="0.3">
      <c r="A258" t="s">
        <v>842</v>
      </c>
      <c r="B258" s="70" t="s">
        <v>41</v>
      </c>
      <c r="C258" s="70">
        <v>1</v>
      </c>
      <c r="D258" s="75" t="s">
        <v>979</v>
      </c>
      <c r="F258" t="str">
        <f t="shared" si="3"/>
        <v>update unidad set gobernada = 1, fechagobernada = '2024-10-31' where name = 'TLEA-316';</v>
      </c>
    </row>
    <row r="259" spans="1:6" x14ac:dyDescent="0.3">
      <c r="A259" t="s">
        <v>845</v>
      </c>
      <c r="B259" s="70" t="s">
        <v>33</v>
      </c>
      <c r="C259" s="70">
        <v>0</v>
      </c>
      <c r="D259" s="74" t="s">
        <v>975</v>
      </c>
      <c r="F259" t="str">
        <f t="shared" ref="F259:F292" si="4">CONCATENATE("update unidad set gobernada = ", C259,", fechagobernada = ",D259,"' where name = '",A259,"';")</f>
        <v>update unidad set gobernada = 0, fechagobernada = null' where name = 'TLEA-317';</v>
      </c>
    </row>
    <row r="260" spans="1:6" x14ac:dyDescent="0.3">
      <c r="A260" t="s">
        <v>848</v>
      </c>
      <c r="B260" s="70" t="s">
        <v>33</v>
      </c>
      <c r="C260" s="70">
        <v>0</v>
      </c>
      <c r="D260" s="74" t="s">
        <v>975</v>
      </c>
      <c r="F260" t="str">
        <f t="shared" si="4"/>
        <v>update unidad set gobernada = 0, fechagobernada = null' where name = 'TLEA-318';</v>
      </c>
    </row>
    <row r="261" spans="1:6" x14ac:dyDescent="0.3">
      <c r="A261" t="s">
        <v>851</v>
      </c>
      <c r="B261" s="70" t="s">
        <v>41</v>
      </c>
      <c r="C261" s="70">
        <v>1</v>
      </c>
      <c r="D261" s="75" t="s">
        <v>976</v>
      </c>
      <c r="F261" t="str">
        <f t="shared" si="4"/>
        <v>update unidad set gobernada = 1, fechagobernada = '2024-08-01' where name = 'TLEA-319';</v>
      </c>
    </row>
    <row r="262" spans="1:6" x14ac:dyDescent="0.3">
      <c r="A262" t="s">
        <v>854</v>
      </c>
      <c r="B262" s="70" t="s">
        <v>33</v>
      </c>
      <c r="C262" s="70">
        <v>0</v>
      </c>
      <c r="D262" s="74" t="s">
        <v>975</v>
      </c>
      <c r="F262" t="str">
        <f t="shared" si="4"/>
        <v>update unidad set gobernada = 0, fechagobernada = null' where name = 'TLEA-320';</v>
      </c>
    </row>
    <row r="263" spans="1:6" x14ac:dyDescent="0.3">
      <c r="A263" t="s">
        <v>857</v>
      </c>
      <c r="B263" s="70" t="s">
        <v>33</v>
      </c>
      <c r="C263" s="70">
        <v>0</v>
      </c>
      <c r="D263" s="74" t="s">
        <v>975</v>
      </c>
      <c r="F263" t="str">
        <f t="shared" si="4"/>
        <v>update unidad set gobernada = 0, fechagobernada = null' where name = 'TLEA-321';</v>
      </c>
    </row>
    <row r="264" spans="1:6" x14ac:dyDescent="0.3">
      <c r="A264" t="s">
        <v>860</v>
      </c>
      <c r="B264" s="70" t="s">
        <v>41</v>
      </c>
      <c r="C264" s="70">
        <v>1</v>
      </c>
      <c r="D264" s="75" t="s">
        <v>977</v>
      </c>
      <c r="F264" t="str">
        <f t="shared" si="4"/>
        <v>update unidad set gobernada = 1, fechagobernada = '2024-08-17' where name = 'TLEA-322';</v>
      </c>
    </row>
    <row r="265" spans="1:6" x14ac:dyDescent="0.3">
      <c r="A265" t="s">
        <v>863</v>
      </c>
      <c r="B265" s="70" t="s">
        <v>33</v>
      </c>
      <c r="C265" s="70">
        <v>0</v>
      </c>
      <c r="D265" s="74" t="s">
        <v>975</v>
      </c>
      <c r="F265" t="str">
        <f t="shared" si="4"/>
        <v>update unidad set gobernada = 0, fechagobernada = null' where name = 'TLEA-323';</v>
      </c>
    </row>
    <row r="266" spans="1:6" x14ac:dyDescent="0.3">
      <c r="A266" t="s">
        <v>866</v>
      </c>
      <c r="B266" s="70" t="s">
        <v>41</v>
      </c>
      <c r="C266" s="70">
        <v>1</v>
      </c>
      <c r="D266" s="75" t="s">
        <v>991</v>
      </c>
      <c r="F266" t="str">
        <f t="shared" si="4"/>
        <v>update unidad set gobernada = 1, fechagobernada = '2024-11-15' where name = 'TLEA-324';</v>
      </c>
    </row>
    <row r="267" spans="1:6" x14ac:dyDescent="0.3">
      <c r="A267" t="s">
        <v>869</v>
      </c>
      <c r="B267" s="70" t="s">
        <v>33</v>
      </c>
      <c r="C267" s="70">
        <v>0</v>
      </c>
      <c r="D267" s="74" t="s">
        <v>975</v>
      </c>
      <c r="F267" t="str">
        <f t="shared" si="4"/>
        <v>update unidad set gobernada = 0, fechagobernada = null' where name = 'TLEA-329';</v>
      </c>
    </row>
    <row r="268" spans="1:6" x14ac:dyDescent="0.3">
      <c r="A268" t="s">
        <v>871</v>
      </c>
      <c r="B268" s="70" t="s">
        <v>33</v>
      </c>
      <c r="C268" s="70">
        <v>0</v>
      </c>
      <c r="D268" s="74" t="s">
        <v>975</v>
      </c>
      <c r="F268" t="str">
        <f t="shared" si="4"/>
        <v>update unidad set gobernada = 0, fechagobernada = null' where name = 'TLEA-333';</v>
      </c>
    </row>
    <row r="269" spans="1:6" x14ac:dyDescent="0.3">
      <c r="A269" t="s">
        <v>874</v>
      </c>
      <c r="B269" s="70" t="s">
        <v>33</v>
      </c>
      <c r="C269" s="70">
        <v>0</v>
      </c>
      <c r="D269" s="74" t="s">
        <v>975</v>
      </c>
      <c r="F269" t="str">
        <f t="shared" si="4"/>
        <v>update unidad set gobernada = 0, fechagobernada = null' where name = 'TLEA-334';</v>
      </c>
    </row>
    <row r="270" spans="1:6" x14ac:dyDescent="0.3">
      <c r="A270" t="s">
        <v>876</v>
      </c>
      <c r="B270" s="70" t="s">
        <v>41</v>
      </c>
      <c r="C270" s="70">
        <v>1</v>
      </c>
      <c r="D270" s="75" t="s">
        <v>981</v>
      </c>
      <c r="F270" t="str">
        <f t="shared" si="4"/>
        <v>update unidad set gobernada = 1, fechagobernada = '2024-08-13' where name = 'TLEA-335';</v>
      </c>
    </row>
    <row r="271" spans="1:6" x14ac:dyDescent="0.3">
      <c r="A271" t="s">
        <v>879</v>
      </c>
      <c r="B271" s="70" t="s">
        <v>33</v>
      </c>
      <c r="C271" s="70">
        <v>0</v>
      </c>
      <c r="D271" s="74" t="s">
        <v>975</v>
      </c>
      <c r="F271" t="str">
        <f t="shared" si="4"/>
        <v>update unidad set gobernada = 0, fechagobernada = null' where name = 'TLEA-336';</v>
      </c>
    </row>
    <row r="272" spans="1:6" x14ac:dyDescent="0.3">
      <c r="A272" t="s">
        <v>882</v>
      </c>
      <c r="B272" s="70" t="s">
        <v>33</v>
      </c>
      <c r="C272" s="70">
        <v>0</v>
      </c>
      <c r="D272" s="74" t="s">
        <v>975</v>
      </c>
      <c r="F272" t="str">
        <f t="shared" si="4"/>
        <v>update unidad set gobernada = 0, fechagobernada = null' where name = 'TLEA-337';</v>
      </c>
    </row>
    <row r="273" spans="1:6" x14ac:dyDescent="0.3">
      <c r="A273" t="s">
        <v>885</v>
      </c>
      <c r="B273" s="70" t="s">
        <v>41</v>
      </c>
      <c r="C273" s="70">
        <v>1</v>
      </c>
      <c r="D273" s="75" t="s">
        <v>989</v>
      </c>
      <c r="F273" t="str">
        <f t="shared" si="4"/>
        <v>update unidad set gobernada = 1, fechagobernada = '2024-11-19' where name = 'TLEA-340';</v>
      </c>
    </row>
    <row r="274" spans="1:6" x14ac:dyDescent="0.3">
      <c r="A274" t="s">
        <v>888</v>
      </c>
      <c r="B274" s="70" t="s">
        <v>33</v>
      </c>
      <c r="C274" s="70">
        <v>0</v>
      </c>
      <c r="D274" s="74" t="s">
        <v>975</v>
      </c>
      <c r="F274" t="str">
        <f t="shared" si="4"/>
        <v>update unidad set gobernada = 0, fechagobernada = null' where name = 'TLEA-342';</v>
      </c>
    </row>
    <row r="275" spans="1:6" x14ac:dyDescent="0.3">
      <c r="A275" t="s">
        <v>891</v>
      </c>
      <c r="B275" s="70" t="s">
        <v>33</v>
      </c>
      <c r="C275" s="70">
        <v>1</v>
      </c>
      <c r="D275" s="75" t="s">
        <v>1021</v>
      </c>
      <c r="F275" t="str">
        <f t="shared" si="4"/>
        <v>update unidad set gobernada = 1, fechagobernada = '2024-10-16' where name = 'TLEA-344';</v>
      </c>
    </row>
    <row r="276" spans="1:6" x14ac:dyDescent="0.3">
      <c r="A276" t="s">
        <v>894</v>
      </c>
      <c r="B276" s="70" t="s">
        <v>41</v>
      </c>
      <c r="C276" s="70">
        <v>1</v>
      </c>
      <c r="D276" s="75" t="s">
        <v>978</v>
      </c>
      <c r="F276" t="str">
        <f t="shared" si="4"/>
        <v>update unidad set gobernada = 1, fechagobernada = '2024-10-07' where name = 'TLEA-345';</v>
      </c>
    </row>
    <row r="277" spans="1:6" x14ac:dyDescent="0.3">
      <c r="A277" t="s">
        <v>896</v>
      </c>
      <c r="B277" s="70" t="s">
        <v>33</v>
      </c>
      <c r="C277" s="70">
        <v>0</v>
      </c>
      <c r="D277" s="74" t="s">
        <v>975</v>
      </c>
      <c r="F277" t="str">
        <f t="shared" si="4"/>
        <v>update unidad set gobernada = 0, fechagobernada = null' where name = 'TLEA-346';</v>
      </c>
    </row>
    <row r="278" spans="1:6" x14ac:dyDescent="0.3">
      <c r="A278" t="s">
        <v>899</v>
      </c>
      <c r="B278" s="70" t="s">
        <v>41</v>
      </c>
      <c r="C278" s="70">
        <v>1</v>
      </c>
      <c r="D278" s="75" t="s">
        <v>984</v>
      </c>
      <c r="F278" t="str">
        <f t="shared" si="4"/>
        <v>update unidad set gobernada = 1, fechagobernada = '2024-11-14' where name = 'TLEA-347';</v>
      </c>
    </row>
    <row r="279" spans="1:6" x14ac:dyDescent="0.3">
      <c r="A279" t="s">
        <v>902</v>
      </c>
      <c r="B279" s="70" t="s">
        <v>41</v>
      </c>
      <c r="C279" s="70">
        <v>1</v>
      </c>
      <c r="D279" s="75" t="s">
        <v>986</v>
      </c>
      <c r="F279" t="str">
        <f t="shared" si="4"/>
        <v>update unidad set gobernada = 1, fechagobernada = '2024-11-13' where name = 'TLEA-348';</v>
      </c>
    </row>
    <row r="280" spans="1:6" x14ac:dyDescent="0.3">
      <c r="A280" t="s">
        <v>905</v>
      </c>
      <c r="B280" s="70" t="s">
        <v>33</v>
      </c>
      <c r="C280" s="70">
        <v>0</v>
      </c>
      <c r="D280" s="74" t="s">
        <v>975</v>
      </c>
      <c r="F280" t="str">
        <f t="shared" si="4"/>
        <v>update unidad set gobernada = 0, fechagobernada = null' where name = 'TLEA-352';</v>
      </c>
    </row>
    <row r="281" spans="1:6" x14ac:dyDescent="0.3">
      <c r="A281" t="s">
        <v>268</v>
      </c>
      <c r="B281" s="71" t="s">
        <v>41</v>
      </c>
      <c r="C281" s="70">
        <v>1</v>
      </c>
      <c r="D281" s="75" t="s">
        <v>1025</v>
      </c>
      <c r="F281" t="str">
        <f t="shared" si="4"/>
        <v>update unidad set gobernada = 1, fechagobernada = '2024-11-08' where name = 'TLEA-120';</v>
      </c>
    </row>
    <row r="282" spans="1:6" x14ac:dyDescent="0.3">
      <c r="A282" t="s">
        <v>512</v>
      </c>
      <c r="B282" s="71" t="s">
        <v>41</v>
      </c>
      <c r="C282" s="70">
        <v>1</v>
      </c>
      <c r="D282" s="75" t="s">
        <v>1002</v>
      </c>
      <c r="F282" t="str">
        <f t="shared" si="4"/>
        <v>update unidad set gobernada = 1, fechagobernada = '2024-11-12' where name = 'TLEA-200';</v>
      </c>
    </row>
    <row r="283" spans="1:6" x14ac:dyDescent="0.3">
      <c r="A283" t="s">
        <v>428</v>
      </c>
      <c r="B283" s="71" t="s">
        <v>41</v>
      </c>
      <c r="C283" s="70">
        <v>1</v>
      </c>
      <c r="D283" s="75" t="s">
        <v>1002</v>
      </c>
      <c r="F283" t="str">
        <f t="shared" si="4"/>
        <v>update unidad set gobernada = 1, fechagobernada = '2024-11-12' where name = 'TLEA-172';</v>
      </c>
    </row>
    <row r="284" spans="1:6" x14ac:dyDescent="0.3">
      <c r="A284" t="s">
        <v>907</v>
      </c>
      <c r="B284" s="71" t="s">
        <v>41</v>
      </c>
      <c r="C284" s="70">
        <v>1</v>
      </c>
      <c r="D284" s="75" t="s">
        <v>1002</v>
      </c>
      <c r="F284" t="str">
        <f t="shared" si="4"/>
        <v>update unidad set gobernada = 1, fechagobernada = '2024-11-12' where name = 'TLEA-362';</v>
      </c>
    </row>
    <row r="285" spans="1:6" x14ac:dyDescent="0.3">
      <c r="A285" t="s">
        <v>376</v>
      </c>
      <c r="B285" s="71" t="s">
        <v>41</v>
      </c>
      <c r="C285" s="70">
        <v>1</v>
      </c>
      <c r="D285" s="75" t="s">
        <v>1002</v>
      </c>
      <c r="F285" t="str">
        <f t="shared" si="4"/>
        <v>update unidad set gobernada = 1, fechagobernada = '2024-11-12' where name = 'TLEA-155';</v>
      </c>
    </row>
    <row r="286" spans="1:6" x14ac:dyDescent="0.3">
      <c r="A286" t="s">
        <v>391</v>
      </c>
      <c r="B286" s="71" t="s">
        <v>41</v>
      </c>
      <c r="C286" s="70">
        <v>1</v>
      </c>
      <c r="D286" s="75" t="s">
        <v>1002</v>
      </c>
      <c r="F286" t="str">
        <f t="shared" si="4"/>
        <v>update unidad set gobernada = 1, fechagobernada = '2024-11-12' where name = 'TLEA-160';</v>
      </c>
    </row>
    <row r="287" spans="1:6" x14ac:dyDescent="0.3">
      <c r="A287" t="s">
        <v>874</v>
      </c>
      <c r="B287" s="71" t="s">
        <v>41</v>
      </c>
      <c r="C287" s="70">
        <v>1</v>
      </c>
      <c r="D287" s="75" t="s">
        <v>1002</v>
      </c>
      <c r="F287" t="str">
        <f t="shared" si="4"/>
        <v>update unidad set gobernada = 1, fechagobernada = '2024-11-12' where name = 'TLEA-334';</v>
      </c>
    </row>
    <row r="288" spans="1:6" x14ac:dyDescent="0.3">
      <c r="A288" t="s">
        <v>237</v>
      </c>
      <c r="B288" s="71" t="s">
        <v>41</v>
      </c>
      <c r="C288" s="70">
        <v>1</v>
      </c>
      <c r="D288" s="75" t="s">
        <v>986</v>
      </c>
      <c r="F288" t="str">
        <f t="shared" si="4"/>
        <v>update unidad set gobernada = 1, fechagobernada = '2024-11-13' where name = 'TLEA-090';</v>
      </c>
    </row>
    <row r="289" spans="1:6" x14ac:dyDescent="0.3">
      <c r="A289" t="s">
        <v>565</v>
      </c>
      <c r="B289" s="71" t="s">
        <v>41</v>
      </c>
      <c r="C289" s="70">
        <v>1</v>
      </c>
      <c r="D289" s="75" t="s">
        <v>986</v>
      </c>
      <c r="F289" t="str">
        <f t="shared" si="4"/>
        <v>update unidad set gobernada = 1, fechagobernada = '2024-11-13' where name = 'TLEA-217';</v>
      </c>
    </row>
    <row r="290" spans="1:6" x14ac:dyDescent="0.3">
      <c r="A290" t="s">
        <v>712</v>
      </c>
      <c r="B290" s="71" t="s">
        <v>41</v>
      </c>
      <c r="C290" s="70">
        <v>1</v>
      </c>
      <c r="D290" s="75" t="s">
        <v>986</v>
      </c>
      <c r="F290" t="str">
        <f t="shared" si="4"/>
        <v>update unidad set gobernada = 1, fechagobernada = '2024-11-13' where name = 'TLEA-266';</v>
      </c>
    </row>
    <row r="291" spans="1:6" x14ac:dyDescent="0.3">
      <c r="A291" t="s">
        <v>908</v>
      </c>
      <c r="B291" s="71" t="s">
        <v>41</v>
      </c>
      <c r="C291" s="70">
        <v>1</v>
      </c>
      <c r="D291" s="75" t="s">
        <v>984</v>
      </c>
      <c r="F291" t="str">
        <f t="shared" si="4"/>
        <v>update unidad set gobernada = 1, fechagobernada = '2024-11-14' where name = 'TLEA-339';</v>
      </c>
    </row>
    <row r="292" spans="1:6" ht="15" thickBot="1" x14ac:dyDescent="0.35">
      <c r="A292" t="s">
        <v>910</v>
      </c>
      <c r="B292" s="72" t="s">
        <v>41</v>
      </c>
      <c r="C292" s="72">
        <v>1</v>
      </c>
      <c r="D292" s="75" t="s">
        <v>989</v>
      </c>
      <c r="F292" t="str">
        <f t="shared" si="4"/>
        <v>update unidad set gobernada = 1, fechagobernada = '2024-11-19' where name = 'TLEA-368';</v>
      </c>
    </row>
  </sheetData>
  <autoFilter ref="A1:D292" xr:uid="{710CCF4C-0E98-4AEC-8BF3-D28A1B92C242}"/>
  <conditionalFormatting sqref="B2:C292">
    <cfRule type="containsText" dxfId="1" priority="1" operator="containsText" text="NO">
      <formula>NOT(ISERROR(SEARCH("NO",B2)))</formula>
    </cfRule>
    <cfRule type="containsText" dxfId="0" priority="2" operator="containsText" text="Si">
      <formula>NOT(ISERROR(SEARCH("Si",B2)))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A55E-2522-472B-9F07-89731231CA7D}">
  <sheetPr filterMode="1"/>
  <dimension ref="A1:C76"/>
  <sheetViews>
    <sheetView workbookViewId="0">
      <selection activeCell="F67" sqref="F67"/>
    </sheetView>
  </sheetViews>
  <sheetFormatPr baseColWidth="10" defaultColWidth="11.44140625" defaultRowHeight="14.4" x14ac:dyDescent="0.3"/>
  <sheetData>
    <row r="1" spans="1:3" x14ac:dyDescent="0.3">
      <c r="A1" s="7" t="s">
        <v>915</v>
      </c>
      <c r="B1" s="8" t="s">
        <v>916</v>
      </c>
      <c r="C1" s="8" t="s">
        <v>917</v>
      </c>
    </row>
    <row r="2" spans="1:3" hidden="1" x14ac:dyDescent="0.3">
      <c r="A2" s="9" t="s">
        <v>918</v>
      </c>
      <c r="B2" s="8" t="s">
        <v>919</v>
      </c>
      <c r="C2" s="10" t="s">
        <v>920</v>
      </c>
    </row>
    <row r="3" spans="1:3" hidden="1" x14ac:dyDescent="0.3">
      <c r="A3" s="9" t="s">
        <v>921</v>
      </c>
      <c r="B3" s="8" t="s">
        <v>922</v>
      </c>
      <c r="C3" s="10" t="s">
        <v>920</v>
      </c>
    </row>
    <row r="4" spans="1:3" hidden="1" x14ac:dyDescent="0.3">
      <c r="A4" s="9" t="s">
        <v>106</v>
      </c>
      <c r="B4" s="8" t="s">
        <v>922</v>
      </c>
      <c r="C4" s="10" t="s">
        <v>920</v>
      </c>
    </row>
    <row r="5" spans="1:3" hidden="1" x14ac:dyDescent="0.3">
      <c r="A5" s="11" t="s">
        <v>116</v>
      </c>
      <c r="B5" s="8" t="s">
        <v>922</v>
      </c>
      <c r="C5" s="10" t="s">
        <v>920</v>
      </c>
    </row>
    <row r="6" spans="1:3" hidden="1" x14ac:dyDescent="0.3">
      <c r="A6" s="11" t="s">
        <v>139</v>
      </c>
      <c r="B6" s="8" t="s">
        <v>922</v>
      </c>
      <c r="C6" s="10" t="s">
        <v>920</v>
      </c>
    </row>
    <row r="7" spans="1:3" hidden="1" x14ac:dyDescent="0.3">
      <c r="A7" s="11" t="s">
        <v>142</v>
      </c>
      <c r="B7" s="8" t="s">
        <v>922</v>
      </c>
      <c r="C7" s="10" t="s">
        <v>920</v>
      </c>
    </row>
    <row r="8" spans="1:3" hidden="1" x14ac:dyDescent="0.3">
      <c r="A8" s="11" t="s">
        <v>923</v>
      </c>
      <c r="B8" s="8" t="s">
        <v>919</v>
      </c>
      <c r="C8" s="10" t="s">
        <v>920</v>
      </c>
    </row>
    <row r="9" spans="1:3" hidden="1" x14ac:dyDescent="0.3">
      <c r="A9" s="12" t="s">
        <v>168</v>
      </c>
      <c r="B9" s="8" t="s">
        <v>922</v>
      </c>
      <c r="C9" s="10" t="s">
        <v>920</v>
      </c>
    </row>
    <row r="10" spans="1:3" hidden="1" x14ac:dyDescent="0.3">
      <c r="A10" s="9" t="s">
        <v>186</v>
      </c>
      <c r="B10" s="8" t="s">
        <v>924</v>
      </c>
      <c r="C10" s="10" t="s">
        <v>920</v>
      </c>
    </row>
    <row r="11" spans="1:3" hidden="1" x14ac:dyDescent="0.3">
      <c r="A11" s="9" t="s">
        <v>189</v>
      </c>
      <c r="B11" s="8" t="s">
        <v>922</v>
      </c>
      <c r="C11" s="10" t="s">
        <v>920</v>
      </c>
    </row>
    <row r="12" spans="1:3" hidden="1" x14ac:dyDescent="0.3">
      <c r="A12" s="11" t="s">
        <v>192</v>
      </c>
      <c r="B12" s="8" t="s">
        <v>922</v>
      </c>
      <c r="C12" s="10" t="s">
        <v>920</v>
      </c>
    </row>
    <row r="13" spans="1:3" hidden="1" x14ac:dyDescent="0.3">
      <c r="A13" s="11" t="s">
        <v>231</v>
      </c>
      <c r="B13" s="8" t="s">
        <v>922</v>
      </c>
      <c r="C13" s="10" t="s">
        <v>920</v>
      </c>
    </row>
    <row r="14" spans="1:3" hidden="1" x14ac:dyDescent="0.3">
      <c r="A14" s="9" t="s">
        <v>259</v>
      </c>
      <c r="B14" s="8" t="s">
        <v>922</v>
      </c>
      <c r="C14" s="10" t="s">
        <v>920</v>
      </c>
    </row>
    <row r="15" spans="1:3" hidden="1" x14ac:dyDescent="0.3">
      <c r="A15" s="9" t="s">
        <v>262</v>
      </c>
      <c r="B15" s="8" t="s">
        <v>922</v>
      </c>
      <c r="C15" s="10" t="s">
        <v>920</v>
      </c>
    </row>
    <row r="16" spans="1:3" hidden="1" x14ac:dyDescent="0.3">
      <c r="A16" s="9" t="s">
        <v>265</v>
      </c>
      <c r="B16" s="8" t="s">
        <v>922</v>
      </c>
      <c r="C16" s="10" t="s">
        <v>920</v>
      </c>
    </row>
    <row r="17" spans="1:3" hidden="1" x14ac:dyDescent="0.3">
      <c r="A17" s="9" t="s">
        <v>268</v>
      </c>
      <c r="B17" s="8" t="s">
        <v>922</v>
      </c>
      <c r="C17" s="10" t="s">
        <v>920</v>
      </c>
    </row>
    <row r="18" spans="1:3" hidden="1" x14ac:dyDescent="0.3">
      <c r="A18" s="11" t="s">
        <v>277</v>
      </c>
      <c r="B18" s="8" t="s">
        <v>922</v>
      </c>
      <c r="C18" s="10" t="s">
        <v>920</v>
      </c>
    </row>
    <row r="19" spans="1:3" hidden="1" x14ac:dyDescent="0.3">
      <c r="A19" s="12" t="s">
        <v>301</v>
      </c>
      <c r="B19" s="8" t="s">
        <v>922</v>
      </c>
      <c r="C19" s="10" t="s">
        <v>920</v>
      </c>
    </row>
    <row r="20" spans="1:3" hidden="1" x14ac:dyDescent="0.3">
      <c r="A20" s="12" t="s">
        <v>309</v>
      </c>
      <c r="B20" s="8" t="s">
        <v>922</v>
      </c>
      <c r="C20" s="10" t="s">
        <v>920</v>
      </c>
    </row>
    <row r="21" spans="1:3" hidden="1" x14ac:dyDescent="0.3">
      <c r="A21" s="9" t="s">
        <v>321</v>
      </c>
      <c r="B21" s="8" t="s">
        <v>922</v>
      </c>
      <c r="C21" s="10" t="s">
        <v>920</v>
      </c>
    </row>
    <row r="22" spans="1:3" hidden="1" x14ac:dyDescent="0.3">
      <c r="A22" s="9" t="s">
        <v>324</v>
      </c>
      <c r="B22" s="8" t="s">
        <v>922</v>
      </c>
      <c r="C22" s="10" t="s">
        <v>920</v>
      </c>
    </row>
    <row r="23" spans="1:3" hidden="1" x14ac:dyDescent="0.3">
      <c r="A23" s="11" t="s">
        <v>340</v>
      </c>
      <c r="B23" s="8" t="s">
        <v>922</v>
      </c>
      <c r="C23" s="10" t="s">
        <v>920</v>
      </c>
    </row>
    <row r="24" spans="1:3" hidden="1" x14ac:dyDescent="0.3">
      <c r="A24" s="11" t="s">
        <v>346</v>
      </c>
      <c r="B24" s="8" t="s">
        <v>922</v>
      </c>
      <c r="C24" s="10" t="s">
        <v>920</v>
      </c>
    </row>
    <row r="25" spans="1:3" hidden="1" x14ac:dyDescent="0.3">
      <c r="A25" s="11" t="s">
        <v>346</v>
      </c>
      <c r="B25" s="8" t="s">
        <v>922</v>
      </c>
      <c r="C25" s="10" t="s">
        <v>920</v>
      </c>
    </row>
    <row r="26" spans="1:3" hidden="1" x14ac:dyDescent="0.3">
      <c r="A26" s="11" t="s">
        <v>355</v>
      </c>
      <c r="B26" s="8" t="s">
        <v>922</v>
      </c>
      <c r="C26" s="10" t="s">
        <v>920</v>
      </c>
    </row>
    <row r="27" spans="1:3" hidden="1" x14ac:dyDescent="0.3">
      <c r="A27" s="11" t="s">
        <v>361</v>
      </c>
      <c r="B27" s="8" t="s">
        <v>922</v>
      </c>
      <c r="C27" s="10" t="s">
        <v>920</v>
      </c>
    </row>
    <row r="28" spans="1:3" hidden="1" x14ac:dyDescent="0.3">
      <c r="A28" s="9" t="s">
        <v>370</v>
      </c>
      <c r="B28" s="8" t="s">
        <v>922</v>
      </c>
      <c r="C28" s="10" t="s">
        <v>920</v>
      </c>
    </row>
    <row r="29" spans="1:3" hidden="1" x14ac:dyDescent="0.3">
      <c r="A29" s="9" t="s">
        <v>407</v>
      </c>
      <c r="B29" s="8" t="s">
        <v>922</v>
      </c>
      <c r="C29" s="10" t="s">
        <v>920</v>
      </c>
    </row>
    <row r="30" spans="1:3" hidden="1" x14ac:dyDescent="0.3">
      <c r="A30" s="9" t="s">
        <v>431</v>
      </c>
      <c r="B30" s="8" t="s">
        <v>922</v>
      </c>
      <c r="C30" s="10" t="s">
        <v>920</v>
      </c>
    </row>
    <row r="31" spans="1:3" hidden="1" x14ac:dyDescent="0.3">
      <c r="A31" s="12" t="s">
        <v>449</v>
      </c>
      <c r="B31" s="8" t="s">
        <v>922</v>
      </c>
      <c r="C31" s="10" t="s">
        <v>920</v>
      </c>
    </row>
    <row r="32" spans="1:3" hidden="1" x14ac:dyDescent="0.3">
      <c r="A32" s="12" t="s">
        <v>458</v>
      </c>
      <c r="B32" s="8" t="s">
        <v>922</v>
      </c>
      <c r="C32" s="10" t="s">
        <v>920</v>
      </c>
    </row>
    <row r="33" spans="1:3" hidden="1" x14ac:dyDescent="0.3">
      <c r="A33" s="12" t="s">
        <v>467</v>
      </c>
      <c r="B33" s="8" t="s">
        <v>922</v>
      </c>
      <c r="C33" s="10" t="s">
        <v>920</v>
      </c>
    </row>
    <row r="34" spans="1:3" hidden="1" x14ac:dyDescent="0.3">
      <c r="A34" s="12" t="s">
        <v>482</v>
      </c>
      <c r="B34" s="8" t="s">
        <v>922</v>
      </c>
      <c r="C34" s="10" t="s">
        <v>920</v>
      </c>
    </row>
    <row r="35" spans="1:3" hidden="1" x14ac:dyDescent="0.3">
      <c r="A35" s="11" t="s">
        <v>523</v>
      </c>
      <c r="B35" s="8" t="s">
        <v>922</v>
      </c>
      <c r="C35" s="10" t="s">
        <v>920</v>
      </c>
    </row>
    <row r="36" spans="1:3" hidden="1" x14ac:dyDescent="0.3">
      <c r="A36" s="11" t="s">
        <v>526</v>
      </c>
      <c r="B36" s="8" t="s">
        <v>922</v>
      </c>
      <c r="C36" s="10" t="s">
        <v>920</v>
      </c>
    </row>
    <row r="37" spans="1:3" hidden="1" x14ac:dyDescent="0.3">
      <c r="A37" s="11" t="s">
        <v>622</v>
      </c>
      <c r="B37" s="8" t="s">
        <v>922</v>
      </c>
      <c r="C37" s="10" t="s">
        <v>920</v>
      </c>
    </row>
    <row r="38" spans="1:3" hidden="1" x14ac:dyDescent="0.3">
      <c r="A38" s="9" t="s">
        <v>793</v>
      </c>
      <c r="B38" s="8" t="s">
        <v>922</v>
      </c>
      <c r="C38" s="10" t="s">
        <v>920</v>
      </c>
    </row>
    <row r="39" spans="1:3" hidden="1" x14ac:dyDescent="0.3">
      <c r="A39" s="9" t="s">
        <v>799</v>
      </c>
      <c r="B39" s="8" t="s">
        <v>922</v>
      </c>
      <c r="C39" s="10" t="s">
        <v>920</v>
      </c>
    </row>
    <row r="40" spans="1:3" hidden="1" x14ac:dyDescent="0.3">
      <c r="A40" s="11" t="s">
        <v>925</v>
      </c>
      <c r="B40" s="8" t="s">
        <v>922</v>
      </c>
      <c r="C40" s="10" t="s">
        <v>920</v>
      </c>
    </row>
    <row r="41" spans="1:3" hidden="1" x14ac:dyDescent="0.3">
      <c r="A41" s="9" t="s">
        <v>820</v>
      </c>
      <c r="B41" s="8" t="s">
        <v>922</v>
      </c>
      <c r="C41" s="10" t="s">
        <v>920</v>
      </c>
    </row>
    <row r="42" spans="1:3" hidden="1" x14ac:dyDescent="0.3">
      <c r="A42" s="11" t="s">
        <v>823</v>
      </c>
      <c r="B42" s="8" t="s">
        <v>922</v>
      </c>
      <c r="C42" s="10" t="s">
        <v>920</v>
      </c>
    </row>
    <row r="43" spans="1:3" hidden="1" x14ac:dyDescent="0.3">
      <c r="A43" s="9" t="s">
        <v>825</v>
      </c>
      <c r="B43" s="8" t="s">
        <v>922</v>
      </c>
      <c r="C43" s="10" t="s">
        <v>920</v>
      </c>
    </row>
    <row r="44" spans="1:3" hidden="1" x14ac:dyDescent="0.3">
      <c r="A44" s="9" t="s">
        <v>828</v>
      </c>
      <c r="B44" s="8" t="s">
        <v>922</v>
      </c>
      <c r="C44" s="10" t="s">
        <v>920</v>
      </c>
    </row>
    <row r="45" spans="1:3" x14ac:dyDescent="0.3">
      <c r="A45" s="41" t="s">
        <v>100</v>
      </c>
      <c r="B45" s="8" t="s">
        <v>922</v>
      </c>
      <c r="C45" s="10" t="s">
        <v>920</v>
      </c>
    </row>
    <row r="46" spans="1:3" x14ac:dyDescent="0.3">
      <c r="A46" s="41" t="s">
        <v>159</v>
      </c>
      <c r="B46" s="8" t="s">
        <v>922</v>
      </c>
      <c r="C46" s="10" t="s">
        <v>920</v>
      </c>
    </row>
    <row r="47" spans="1:3" x14ac:dyDescent="0.3">
      <c r="A47" s="41" t="s">
        <v>219</v>
      </c>
      <c r="B47" s="8" t="s">
        <v>922</v>
      </c>
      <c r="C47" s="10" t="s">
        <v>920</v>
      </c>
    </row>
    <row r="48" spans="1:3" x14ac:dyDescent="0.3">
      <c r="A48" s="41" t="s">
        <v>222</v>
      </c>
      <c r="B48" s="8" t="s">
        <v>922</v>
      </c>
      <c r="C48" s="10" t="s">
        <v>920</v>
      </c>
    </row>
    <row r="49" spans="1:3" x14ac:dyDescent="0.3">
      <c r="A49" s="41" t="s">
        <v>225</v>
      </c>
      <c r="B49" s="8" t="s">
        <v>922</v>
      </c>
      <c r="C49" s="10" t="s">
        <v>920</v>
      </c>
    </row>
    <row r="50" spans="1:3" x14ac:dyDescent="0.3">
      <c r="A50" s="41" t="s">
        <v>234</v>
      </c>
      <c r="B50" s="8" t="s">
        <v>922</v>
      </c>
      <c r="C50" s="10" t="s">
        <v>920</v>
      </c>
    </row>
    <row r="51" spans="1:3" x14ac:dyDescent="0.3">
      <c r="A51" s="41" t="s">
        <v>237</v>
      </c>
      <c r="B51" s="8" t="s">
        <v>922</v>
      </c>
      <c r="C51" s="10" t="s">
        <v>920</v>
      </c>
    </row>
    <row r="52" spans="1:3" x14ac:dyDescent="0.3">
      <c r="A52" s="41" t="s">
        <v>246</v>
      </c>
      <c r="B52" s="8" t="s">
        <v>922</v>
      </c>
      <c r="C52" s="10" t="s">
        <v>920</v>
      </c>
    </row>
    <row r="53" spans="1:3" x14ac:dyDescent="0.3">
      <c r="A53" s="41" t="s">
        <v>271</v>
      </c>
      <c r="B53" s="8" t="s">
        <v>922</v>
      </c>
      <c r="C53" s="10" t="s">
        <v>920</v>
      </c>
    </row>
    <row r="54" spans="1:3" x14ac:dyDescent="0.3">
      <c r="A54" s="41" t="s">
        <v>274</v>
      </c>
      <c r="B54" s="8" t="s">
        <v>922</v>
      </c>
      <c r="C54" s="10" t="s">
        <v>920</v>
      </c>
    </row>
    <row r="55" spans="1:3" x14ac:dyDescent="0.3">
      <c r="A55" s="41" t="s">
        <v>283</v>
      </c>
      <c r="B55" s="8" t="s">
        <v>922</v>
      </c>
      <c r="C55" s="10" t="s">
        <v>920</v>
      </c>
    </row>
    <row r="56" spans="1:3" x14ac:dyDescent="0.3">
      <c r="A56" s="41" t="s">
        <v>298</v>
      </c>
      <c r="B56" s="8" t="s">
        <v>922</v>
      </c>
      <c r="C56" s="10" t="s">
        <v>920</v>
      </c>
    </row>
    <row r="57" spans="1:3" x14ac:dyDescent="0.3">
      <c r="A57" s="41" t="s">
        <v>315</v>
      </c>
      <c r="B57" s="8" t="s">
        <v>922</v>
      </c>
      <c r="C57" s="10" t="s">
        <v>920</v>
      </c>
    </row>
    <row r="58" spans="1:3" x14ac:dyDescent="0.3">
      <c r="A58" s="41" t="s">
        <v>321</v>
      </c>
      <c r="B58" s="8" t="s">
        <v>922</v>
      </c>
      <c r="C58" s="10" t="s">
        <v>920</v>
      </c>
    </row>
    <row r="59" spans="1:3" x14ac:dyDescent="0.3">
      <c r="A59" s="41" t="s">
        <v>334</v>
      </c>
      <c r="B59" s="8" t="s">
        <v>922</v>
      </c>
      <c r="C59" s="10" t="s">
        <v>920</v>
      </c>
    </row>
    <row r="60" spans="1:3" x14ac:dyDescent="0.3">
      <c r="A60" s="41" t="s">
        <v>337</v>
      </c>
      <c r="B60" s="8" t="s">
        <v>922</v>
      </c>
      <c r="C60" s="10" t="s">
        <v>920</v>
      </c>
    </row>
    <row r="61" spans="1:3" x14ac:dyDescent="0.3">
      <c r="A61" s="41" t="s">
        <v>404</v>
      </c>
      <c r="B61" s="8" t="s">
        <v>922</v>
      </c>
      <c r="C61" s="10" t="s">
        <v>920</v>
      </c>
    </row>
    <row r="62" spans="1:3" x14ac:dyDescent="0.3">
      <c r="A62" s="41" t="s">
        <v>446</v>
      </c>
      <c r="B62" s="8" t="s">
        <v>922</v>
      </c>
      <c r="C62" s="10" t="s">
        <v>920</v>
      </c>
    </row>
    <row r="63" spans="1:3" x14ac:dyDescent="0.3">
      <c r="A63" s="41" t="s">
        <v>458</v>
      </c>
      <c r="B63" s="8" t="s">
        <v>922</v>
      </c>
      <c r="C63" s="10" t="s">
        <v>920</v>
      </c>
    </row>
    <row r="64" spans="1:3" x14ac:dyDescent="0.3">
      <c r="A64" s="41" t="s">
        <v>476</v>
      </c>
      <c r="B64" s="8" t="s">
        <v>922</v>
      </c>
      <c r="C64" s="10" t="s">
        <v>920</v>
      </c>
    </row>
    <row r="65" spans="1:3" x14ac:dyDescent="0.3">
      <c r="A65" s="41" t="s">
        <v>488</v>
      </c>
      <c r="B65" s="8" t="s">
        <v>922</v>
      </c>
      <c r="C65" s="10" t="s">
        <v>920</v>
      </c>
    </row>
    <row r="66" spans="1:3" x14ac:dyDescent="0.3">
      <c r="A66" s="41" t="s">
        <v>503</v>
      </c>
      <c r="B66" s="8" t="s">
        <v>922</v>
      </c>
      <c r="C66" s="10" t="s">
        <v>920</v>
      </c>
    </row>
    <row r="67" spans="1:3" x14ac:dyDescent="0.3">
      <c r="A67" s="41" t="s">
        <v>506</v>
      </c>
      <c r="B67" s="8" t="s">
        <v>922</v>
      </c>
      <c r="C67" s="10" t="s">
        <v>920</v>
      </c>
    </row>
    <row r="68" spans="1:3" x14ac:dyDescent="0.3">
      <c r="A68" s="41" t="s">
        <v>523</v>
      </c>
      <c r="B68" s="8" t="s">
        <v>922</v>
      </c>
      <c r="C68" s="10" t="s">
        <v>920</v>
      </c>
    </row>
    <row r="69" spans="1:3" x14ac:dyDescent="0.3">
      <c r="A69" s="41" t="s">
        <v>646</v>
      </c>
      <c r="B69" s="8" t="s">
        <v>922</v>
      </c>
      <c r="C69" s="10" t="s">
        <v>920</v>
      </c>
    </row>
    <row r="70" spans="1:3" x14ac:dyDescent="0.3">
      <c r="A70" s="41" t="s">
        <v>739</v>
      </c>
      <c r="B70" s="8" t="s">
        <v>922</v>
      </c>
      <c r="C70" s="10" t="s">
        <v>920</v>
      </c>
    </row>
    <row r="71" spans="1:3" x14ac:dyDescent="0.3">
      <c r="A71" s="41" t="s">
        <v>760</v>
      </c>
      <c r="B71" s="8" t="s">
        <v>922</v>
      </c>
      <c r="C71" s="10" t="s">
        <v>920</v>
      </c>
    </row>
    <row r="72" spans="1:3" x14ac:dyDescent="0.3">
      <c r="A72" s="41" t="s">
        <v>790</v>
      </c>
      <c r="B72" s="8" t="s">
        <v>922</v>
      </c>
      <c r="C72" s="10" t="s">
        <v>920</v>
      </c>
    </row>
    <row r="73" spans="1:3" x14ac:dyDescent="0.3">
      <c r="A73" s="41" t="s">
        <v>802</v>
      </c>
      <c r="B73" s="8" t="s">
        <v>922</v>
      </c>
      <c r="C73" s="10" t="s">
        <v>920</v>
      </c>
    </row>
    <row r="74" spans="1:3" x14ac:dyDescent="0.3">
      <c r="A74" s="41" t="s">
        <v>926</v>
      </c>
      <c r="B74" s="8" t="s">
        <v>922</v>
      </c>
      <c r="C74" s="10" t="s">
        <v>920</v>
      </c>
    </row>
    <row r="75" spans="1:3" x14ac:dyDescent="0.3">
      <c r="A75" s="41" t="s">
        <v>814</v>
      </c>
      <c r="B75" s="8" t="s">
        <v>922</v>
      </c>
      <c r="C75" s="10" t="s">
        <v>920</v>
      </c>
    </row>
    <row r="76" spans="1:3" x14ac:dyDescent="0.3">
      <c r="A76" s="41" t="s">
        <v>817</v>
      </c>
      <c r="B76" s="8" t="s">
        <v>922</v>
      </c>
      <c r="C76" s="10" t="s">
        <v>920</v>
      </c>
    </row>
  </sheetData>
  <autoFilter ref="A1:C76" xr:uid="{D349A55E-2522-472B-9F07-89731231CA7D}">
    <filterColumn colId="0">
      <colorFilter dxfId="10"/>
    </filterColumn>
    <filterColumn colId="1">
      <filters>
        <filter val="ADESU"/>
      </filters>
    </filterColumn>
    <sortState xmlns:xlrd2="http://schemas.microsoft.com/office/spreadsheetml/2017/richdata2" ref="A45:C76">
      <sortCondition ref="A1:A7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F7C6-EF0B-4C4B-A1B5-6B710FD073E9}">
  <dimension ref="A1:E281"/>
  <sheetViews>
    <sheetView workbookViewId="0">
      <selection activeCell="B2" sqref="B2"/>
    </sheetView>
  </sheetViews>
  <sheetFormatPr baseColWidth="10" defaultColWidth="11.44140625" defaultRowHeight="14.4" x14ac:dyDescent="0.3"/>
  <sheetData>
    <row r="1" spans="1:5" x14ac:dyDescent="0.3">
      <c r="A1" s="31" t="s">
        <v>927</v>
      </c>
      <c r="B1" s="32" t="s">
        <v>19</v>
      </c>
      <c r="C1" s="32" t="s">
        <v>928</v>
      </c>
      <c r="D1" s="33" t="s">
        <v>929</v>
      </c>
      <c r="E1" s="33" t="s">
        <v>929</v>
      </c>
    </row>
    <row r="2" spans="1:5" x14ac:dyDescent="0.3">
      <c r="A2" s="34" t="s">
        <v>23</v>
      </c>
      <c r="B2" s="35" t="s">
        <v>930</v>
      </c>
      <c r="C2" s="35" t="s">
        <v>931</v>
      </c>
      <c r="D2" s="36" t="s">
        <v>932</v>
      </c>
      <c r="E2" t="str">
        <f>VLOOKUP(A2,'BD Parametros'!B:M,12,FALSE)</f>
        <v>RE-C01</v>
      </c>
    </row>
    <row r="3" spans="1:5" x14ac:dyDescent="0.3">
      <c r="A3" s="34" t="s">
        <v>36</v>
      </c>
      <c r="B3" s="35" t="s">
        <v>930</v>
      </c>
      <c r="C3" s="35" t="s">
        <v>931</v>
      </c>
      <c r="D3" s="36" t="s">
        <v>932</v>
      </c>
      <c r="E3" t="str">
        <f>VLOOKUP(A3,'BD Parametros'!B:M,12,FALSE)</f>
        <v>RE-C02</v>
      </c>
    </row>
    <row r="4" spans="1:5" x14ac:dyDescent="0.3">
      <c r="A4" s="34" t="s">
        <v>44</v>
      </c>
      <c r="B4" s="35" t="s">
        <v>933</v>
      </c>
      <c r="C4" s="35" t="s">
        <v>934</v>
      </c>
      <c r="D4" s="36" t="s">
        <v>935</v>
      </c>
      <c r="E4" t="str">
        <f>VLOOKUP(A4,'BD Parametros'!B:M,12,FALSE)</f>
        <v>RE-C03</v>
      </c>
    </row>
    <row r="5" spans="1:5" x14ac:dyDescent="0.3">
      <c r="A5" s="37" t="s">
        <v>49</v>
      </c>
      <c r="B5" s="38" t="s">
        <v>933</v>
      </c>
      <c r="C5" s="38" t="s">
        <v>934</v>
      </c>
      <c r="D5" s="39" t="s">
        <v>935</v>
      </c>
      <c r="E5" t="str">
        <f>VLOOKUP(A5,'BD Parametros'!B:M,12,FALSE)</f>
        <v>RE-C04</v>
      </c>
    </row>
    <row r="6" spans="1:5" x14ac:dyDescent="0.3">
      <c r="A6" s="34" t="s">
        <v>53</v>
      </c>
      <c r="B6" s="35" t="s">
        <v>930</v>
      </c>
      <c r="C6" s="35" t="s">
        <v>931</v>
      </c>
      <c r="D6" s="36" t="s">
        <v>932</v>
      </c>
      <c r="E6" t="str">
        <f>VLOOKUP(A6,'BD Parametros'!B:M,12,FALSE)</f>
        <v>RE-C36</v>
      </c>
    </row>
    <row r="7" spans="1:5" x14ac:dyDescent="0.3">
      <c r="A7" s="34" t="s">
        <v>57</v>
      </c>
      <c r="B7" s="35" t="s">
        <v>933</v>
      </c>
      <c r="C7" s="35" t="s">
        <v>934</v>
      </c>
      <c r="D7" s="36" t="s">
        <v>935</v>
      </c>
      <c r="E7" t="str">
        <f>VLOOKUP(A7,'BD Parametros'!B:M,12,FALSE)</f>
        <v>RE-C37</v>
      </c>
    </row>
    <row r="8" spans="1:5" x14ac:dyDescent="0.3">
      <c r="A8" s="34" t="s">
        <v>61</v>
      </c>
      <c r="B8" s="35" t="s">
        <v>930</v>
      </c>
      <c r="C8" s="35" t="s">
        <v>931</v>
      </c>
      <c r="D8" s="36" t="s">
        <v>932</v>
      </c>
      <c r="E8" t="str">
        <f>VLOOKUP(A8,'BD Parametros'!B:M,12,FALSE)</f>
        <v>RE-C38</v>
      </c>
    </row>
    <row r="9" spans="1:5" x14ac:dyDescent="0.3">
      <c r="A9" s="34" t="s">
        <v>65</v>
      </c>
      <c r="B9" s="35" t="s">
        <v>930</v>
      </c>
      <c r="C9" s="35" t="s">
        <v>931</v>
      </c>
      <c r="D9" s="36" t="s">
        <v>932</v>
      </c>
      <c r="E9" t="str">
        <f>VLOOKUP(A9,'BD Parametros'!B:M,12,FALSE)</f>
        <v>RE-C39</v>
      </c>
    </row>
    <row r="10" spans="1:5" x14ac:dyDescent="0.3">
      <c r="A10" s="34" t="s">
        <v>69</v>
      </c>
      <c r="B10" s="35" t="s">
        <v>933</v>
      </c>
      <c r="C10" s="35" t="s">
        <v>934</v>
      </c>
      <c r="D10" s="36" t="s">
        <v>935</v>
      </c>
      <c r="E10" t="str">
        <f>VLOOKUP(A10,'BD Parametros'!B:M,12,FALSE)</f>
        <v>RE-C40</v>
      </c>
    </row>
    <row r="11" spans="1:5" x14ac:dyDescent="0.3">
      <c r="A11" s="34" t="s">
        <v>73</v>
      </c>
      <c r="B11" s="35" t="s">
        <v>933</v>
      </c>
      <c r="C11" s="35" t="s">
        <v>934</v>
      </c>
      <c r="D11" s="36" t="s">
        <v>935</v>
      </c>
      <c r="E11" t="str">
        <f>VLOOKUP(A11,'BD Parametros'!B:M,12,FALSE)</f>
        <v>RE-C41</v>
      </c>
    </row>
    <row r="12" spans="1:5" x14ac:dyDescent="0.3">
      <c r="A12" s="34" t="s">
        <v>77</v>
      </c>
      <c r="B12" s="35" t="s">
        <v>933</v>
      </c>
      <c r="C12" s="35" t="s">
        <v>934</v>
      </c>
      <c r="D12" s="36" t="s">
        <v>935</v>
      </c>
      <c r="E12" t="str">
        <f>VLOOKUP(A12,'BD Parametros'!B:M,12,FALSE)</f>
        <v>RE-C42</v>
      </c>
    </row>
    <row r="13" spans="1:5" x14ac:dyDescent="0.3">
      <c r="A13" s="34" t="s">
        <v>81</v>
      </c>
      <c r="B13" s="35" t="s">
        <v>933</v>
      </c>
      <c r="C13" s="35" t="s">
        <v>934</v>
      </c>
      <c r="D13" s="36" t="s">
        <v>935</v>
      </c>
      <c r="E13" t="str">
        <f>VLOOKUP(A13,'BD Parametros'!B:M,12,FALSE)</f>
        <v>RE-C45</v>
      </c>
    </row>
    <row r="14" spans="1:5" x14ac:dyDescent="0.3">
      <c r="A14" s="34" t="s">
        <v>84</v>
      </c>
      <c r="B14" s="35" t="s">
        <v>933</v>
      </c>
      <c r="C14" s="35" t="s">
        <v>934</v>
      </c>
      <c r="D14" s="36" t="s">
        <v>935</v>
      </c>
      <c r="E14" t="str">
        <f>VLOOKUP(A14,'BD Parametros'!B:M,12,FALSE)</f>
        <v>RE-C44</v>
      </c>
    </row>
    <row r="15" spans="1:5" x14ac:dyDescent="0.3">
      <c r="A15" s="34" t="s">
        <v>88</v>
      </c>
      <c r="B15" s="35" t="s">
        <v>933</v>
      </c>
      <c r="C15" s="35" t="s">
        <v>934</v>
      </c>
      <c r="D15" s="36" t="s">
        <v>935</v>
      </c>
      <c r="E15" t="str">
        <f>VLOOKUP(A15,'BD Parametros'!B:M,12,FALSE)</f>
        <v>RE-C45</v>
      </c>
    </row>
    <row r="16" spans="1:5" x14ac:dyDescent="0.3">
      <c r="A16" s="34" t="s">
        <v>91</v>
      </c>
      <c r="B16" s="35" t="s">
        <v>936</v>
      </c>
      <c r="C16" s="35" t="s">
        <v>931</v>
      </c>
      <c r="D16" s="36" t="s">
        <v>932</v>
      </c>
      <c r="E16" t="str">
        <f>VLOOKUP(A16,'BD Parametros'!B:M,12,FALSE)</f>
        <v>RE-018</v>
      </c>
    </row>
    <row r="17" spans="1:5" x14ac:dyDescent="0.3">
      <c r="A17" s="34" t="s">
        <v>100</v>
      </c>
      <c r="B17" s="35" t="s">
        <v>937</v>
      </c>
      <c r="C17" s="35" t="s">
        <v>934</v>
      </c>
      <c r="D17" s="36" t="s">
        <v>935</v>
      </c>
      <c r="E17" t="str">
        <f>VLOOKUP(A17,'BD Parametros'!B:M,12,FALSE)</f>
        <v>RE-021</v>
      </c>
    </row>
    <row r="18" spans="1:5" x14ac:dyDescent="0.3">
      <c r="A18" s="34" t="s">
        <v>106</v>
      </c>
      <c r="B18" s="35" t="s">
        <v>937</v>
      </c>
      <c r="C18" s="35" t="s">
        <v>934</v>
      </c>
      <c r="D18" s="36" t="s">
        <v>935</v>
      </c>
      <c r="E18" t="str">
        <f>VLOOKUP(A18,'BD Parametros'!B:M,12,FALSE)</f>
        <v>RE-025</v>
      </c>
    </row>
    <row r="19" spans="1:5" x14ac:dyDescent="0.3">
      <c r="A19" s="34" t="s">
        <v>110</v>
      </c>
      <c r="B19" s="35" t="s">
        <v>938</v>
      </c>
      <c r="C19" s="35" t="s">
        <v>939</v>
      </c>
      <c r="D19" s="36" t="s">
        <v>940</v>
      </c>
      <c r="E19" t="str">
        <f>VLOOKUP(A19,'BD Parametros'!B:M,12,FALSE)</f>
        <v>RE-027</v>
      </c>
    </row>
    <row r="20" spans="1:5" x14ac:dyDescent="0.3">
      <c r="A20" s="37" t="s">
        <v>113</v>
      </c>
      <c r="B20" s="38" t="s">
        <v>937</v>
      </c>
      <c r="C20" s="38" t="s">
        <v>941</v>
      </c>
      <c r="D20" s="39" t="s">
        <v>935</v>
      </c>
      <c r="E20" t="str">
        <f>VLOOKUP(A20,'BD Parametros'!B:M,12,FALSE)</f>
        <v>RE-028</v>
      </c>
    </row>
    <row r="21" spans="1:5" x14ac:dyDescent="0.3">
      <c r="A21" s="34" t="s">
        <v>116</v>
      </c>
      <c r="B21" s="35" t="s">
        <v>937</v>
      </c>
      <c r="C21" s="35" t="s">
        <v>941</v>
      </c>
      <c r="D21" s="36" t="s">
        <v>935</v>
      </c>
      <c r="E21" t="str">
        <f>VLOOKUP(A21,'BD Parametros'!B:M,12,FALSE)</f>
        <v>RE-030</v>
      </c>
    </row>
    <row r="22" spans="1:5" x14ac:dyDescent="0.3">
      <c r="A22" s="34" t="s">
        <v>119</v>
      </c>
      <c r="B22" s="35" t="s">
        <v>938</v>
      </c>
      <c r="C22" s="35" t="s">
        <v>939</v>
      </c>
      <c r="D22" s="36" t="s">
        <v>940</v>
      </c>
      <c r="E22" t="str">
        <f>VLOOKUP(A22,'BD Parametros'!B:M,12,FALSE)</f>
        <v>RE-031</v>
      </c>
    </row>
    <row r="23" spans="1:5" x14ac:dyDescent="0.3">
      <c r="A23" s="37" t="s">
        <v>123</v>
      </c>
      <c r="B23" s="38" t="s">
        <v>937</v>
      </c>
      <c r="C23" s="38" t="s">
        <v>934</v>
      </c>
      <c r="D23" s="39" t="s">
        <v>935</v>
      </c>
      <c r="E23" t="str">
        <f>VLOOKUP(A23,'BD Parametros'!B:M,12,FALSE)</f>
        <v>RE-037</v>
      </c>
    </row>
    <row r="24" spans="1:5" x14ac:dyDescent="0.3">
      <c r="A24" s="34" t="s">
        <v>126</v>
      </c>
      <c r="B24" s="35" t="s">
        <v>937</v>
      </c>
      <c r="C24" s="35" t="s">
        <v>941</v>
      </c>
      <c r="D24" s="36" t="s">
        <v>935</v>
      </c>
      <c r="E24" t="str">
        <f>VLOOKUP(A24,'BD Parametros'!B:M,12,FALSE)</f>
        <v>RE-038</v>
      </c>
    </row>
    <row r="25" spans="1:5" x14ac:dyDescent="0.3">
      <c r="A25" s="37" t="s">
        <v>129</v>
      </c>
      <c r="B25" s="38" t="s">
        <v>938</v>
      </c>
      <c r="C25" s="38" t="s">
        <v>939</v>
      </c>
      <c r="D25" s="39" t="s">
        <v>940</v>
      </c>
      <c r="E25" t="str">
        <f>VLOOKUP(A25,'BD Parametros'!B:M,12,FALSE)</f>
        <v>RE-041</v>
      </c>
    </row>
    <row r="26" spans="1:5" x14ac:dyDescent="0.3">
      <c r="A26" s="34" t="s">
        <v>135</v>
      </c>
      <c r="B26" s="35" t="s">
        <v>938</v>
      </c>
      <c r="C26" s="35" t="s">
        <v>939</v>
      </c>
      <c r="D26" s="36" t="s">
        <v>940</v>
      </c>
      <c r="E26" t="str">
        <f>VLOOKUP(A26,'BD Parametros'!B:M,12,FALSE)</f>
        <v>RE-042</v>
      </c>
    </row>
    <row r="27" spans="1:5" x14ac:dyDescent="0.3">
      <c r="A27" s="34" t="s">
        <v>139</v>
      </c>
      <c r="B27" s="35" t="s">
        <v>937</v>
      </c>
      <c r="C27" s="35" t="s">
        <v>934</v>
      </c>
      <c r="D27" s="36" t="s">
        <v>935</v>
      </c>
      <c r="E27" t="str">
        <f>VLOOKUP(A27,'BD Parametros'!B:M,12,FALSE)</f>
        <v>RE-043</v>
      </c>
    </row>
    <row r="28" spans="1:5" x14ac:dyDescent="0.3">
      <c r="A28" s="37" t="s">
        <v>142</v>
      </c>
      <c r="B28" s="38" t="s">
        <v>937</v>
      </c>
      <c r="C28" s="38" t="s">
        <v>934</v>
      </c>
      <c r="D28" s="39" t="s">
        <v>935</v>
      </c>
      <c r="E28" t="str">
        <f>VLOOKUP(A28,'BD Parametros'!B:M,12,FALSE)</f>
        <v>RE-044</v>
      </c>
    </row>
    <row r="29" spans="1:5" x14ac:dyDescent="0.3">
      <c r="A29" s="34" t="s">
        <v>145</v>
      </c>
      <c r="B29" s="35" t="s">
        <v>942</v>
      </c>
      <c r="C29" s="35" t="s">
        <v>939</v>
      </c>
      <c r="D29" s="36" t="s">
        <v>935</v>
      </c>
      <c r="E29" t="str">
        <f>VLOOKUP(A29,'BD Parametros'!B:M,12,FALSE)</f>
        <v>RE-046</v>
      </c>
    </row>
    <row r="30" spans="1:5" x14ac:dyDescent="0.3">
      <c r="A30" s="34" t="s">
        <v>150</v>
      </c>
      <c r="B30" s="35" t="s">
        <v>943</v>
      </c>
      <c r="C30" s="35" t="s">
        <v>944</v>
      </c>
      <c r="D30" s="36" t="s">
        <v>940</v>
      </c>
      <c r="E30" t="str">
        <f>VLOOKUP(A30,'BD Parametros'!B:M,12,FALSE)</f>
        <v>RE-047</v>
      </c>
    </row>
    <row r="31" spans="1:5" x14ac:dyDescent="0.3">
      <c r="A31" s="34" t="s">
        <v>153</v>
      </c>
      <c r="B31" s="35" t="s">
        <v>942</v>
      </c>
      <c r="C31" s="35" t="s">
        <v>944</v>
      </c>
      <c r="D31" s="36" t="s">
        <v>940</v>
      </c>
      <c r="E31" t="str">
        <f>VLOOKUP(A31,'BD Parametros'!B:M,12,FALSE)</f>
        <v>RE-048</v>
      </c>
    </row>
    <row r="32" spans="1:5" x14ac:dyDescent="0.3">
      <c r="A32" s="34" t="s">
        <v>156</v>
      </c>
      <c r="B32" s="35" t="s">
        <v>943</v>
      </c>
      <c r="C32" s="35" t="s">
        <v>944</v>
      </c>
      <c r="D32" s="36" t="s">
        <v>940</v>
      </c>
      <c r="E32" t="str">
        <f>VLOOKUP(A32,'BD Parametros'!B:M,12,FALSE)</f>
        <v>RE-049</v>
      </c>
    </row>
    <row r="33" spans="1:5" x14ac:dyDescent="0.3">
      <c r="A33" s="34" t="s">
        <v>159</v>
      </c>
      <c r="B33" s="35" t="s">
        <v>937</v>
      </c>
      <c r="C33" s="35" t="s">
        <v>934</v>
      </c>
      <c r="D33" s="36" t="s">
        <v>935</v>
      </c>
      <c r="E33" t="str">
        <f>VLOOKUP(A33,'BD Parametros'!B:M,12,FALSE)</f>
        <v>RE-050</v>
      </c>
    </row>
    <row r="34" spans="1:5" x14ac:dyDescent="0.3">
      <c r="A34" s="37" t="s">
        <v>162</v>
      </c>
      <c r="B34" s="38" t="s">
        <v>942</v>
      </c>
      <c r="C34" s="38" t="s">
        <v>944</v>
      </c>
      <c r="D34" s="39" t="s">
        <v>940</v>
      </c>
      <c r="E34" t="str">
        <f>VLOOKUP(A34,'BD Parametros'!B:M,12,FALSE)</f>
        <v>RE-054</v>
      </c>
    </row>
    <row r="35" spans="1:5" x14ac:dyDescent="0.3">
      <c r="A35" s="34" t="s">
        <v>165</v>
      </c>
      <c r="B35" s="35" t="s">
        <v>945</v>
      </c>
      <c r="C35" s="35" t="s">
        <v>931</v>
      </c>
      <c r="D35" s="36" t="s">
        <v>932</v>
      </c>
      <c r="E35" t="str">
        <f>VLOOKUP(A35,'BD Parametros'!B:M,12,FALSE)</f>
        <v>RE-055</v>
      </c>
    </row>
    <row r="36" spans="1:5" x14ac:dyDescent="0.3">
      <c r="A36" s="34" t="s">
        <v>168</v>
      </c>
      <c r="B36" s="35" t="s">
        <v>937</v>
      </c>
      <c r="C36" s="35" t="s">
        <v>934</v>
      </c>
      <c r="D36" s="36" t="s">
        <v>935</v>
      </c>
      <c r="E36" t="str">
        <f>VLOOKUP(A36,'BD Parametros'!B:M,12,FALSE)</f>
        <v>RE-057</v>
      </c>
    </row>
    <row r="37" spans="1:5" x14ac:dyDescent="0.3">
      <c r="A37" s="34" t="s">
        <v>171</v>
      </c>
      <c r="B37" s="35" t="s">
        <v>946</v>
      </c>
      <c r="C37" s="35" t="s">
        <v>944</v>
      </c>
      <c r="D37" s="36" t="s">
        <v>940</v>
      </c>
      <c r="E37" t="str">
        <f>VLOOKUP(A37,'BD Parametros'!B:M,12,FALSE)</f>
        <v>RE-058</v>
      </c>
    </row>
    <row r="38" spans="1:5" x14ac:dyDescent="0.3">
      <c r="A38" s="34" t="s">
        <v>174</v>
      </c>
      <c r="B38" s="35" t="s">
        <v>937</v>
      </c>
      <c r="C38" s="35" t="s">
        <v>934</v>
      </c>
      <c r="D38" s="36" t="s">
        <v>935</v>
      </c>
      <c r="E38" t="str">
        <f>VLOOKUP(A38,'BD Parametros'!B:M,12,FALSE)</f>
        <v>RE-060</v>
      </c>
    </row>
    <row r="39" spans="1:5" x14ac:dyDescent="0.3">
      <c r="A39" s="34" t="s">
        <v>177</v>
      </c>
      <c r="B39" s="35" t="s">
        <v>942</v>
      </c>
      <c r="C39" s="35" t="s">
        <v>944</v>
      </c>
      <c r="D39" s="36" t="s">
        <v>940</v>
      </c>
      <c r="E39" t="str">
        <f>VLOOKUP(A39,'BD Parametros'!B:M,12,FALSE)</f>
        <v>RE-061</v>
      </c>
    </row>
    <row r="40" spans="1:5" x14ac:dyDescent="0.3">
      <c r="A40" s="34" t="s">
        <v>180</v>
      </c>
      <c r="B40" s="35" t="s">
        <v>943</v>
      </c>
      <c r="C40" s="35" t="s">
        <v>944</v>
      </c>
      <c r="D40" s="36" t="s">
        <v>940</v>
      </c>
      <c r="E40" t="str">
        <f>VLOOKUP(A40,'BD Parametros'!B:M,12,FALSE)</f>
        <v>RE-062</v>
      </c>
    </row>
    <row r="41" spans="1:5" x14ac:dyDescent="0.3">
      <c r="A41" s="37" t="s">
        <v>183</v>
      </c>
      <c r="B41" s="38" t="s">
        <v>937</v>
      </c>
      <c r="C41" s="38" t="s">
        <v>934</v>
      </c>
      <c r="D41" s="39" t="s">
        <v>935</v>
      </c>
      <c r="E41" t="str">
        <f>VLOOKUP(A41,'BD Parametros'!B:M,12,FALSE)</f>
        <v>RE-063</v>
      </c>
    </row>
    <row r="42" spans="1:5" x14ac:dyDescent="0.3">
      <c r="A42" s="37" t="s">
        <v>186</v>
      </c>
      <c r="B42" s="38" t="s">
        <v>942</v>
      </c>
      <c r="C42" s="38" t="s">
        <v>944</v>
      </c>
      <c r="D42" s="39" t="s">
        <v>940</v>
      </c>
      <c r="E42" t="str">
        <f>VLOOKUP(A42,'BD Parametros'!B:M,12,FALSE)</f>
        <v>RE-064</v>
      </c>
    </row>
    <row r="43" spans="1:5" x14ac:dyDescent="0.3">
      <c r="A43" s="34" t="s">
        <v>189</v>
      </c>
      <c r="B43" s="35" t="s">
        <v>946</v>
      </c>
      <c r="C43" s="35" t="s">
        <v>944</v>
      </c>
      <c r="D43" s="36" t="s">
        <v>940</v>
      </c>
      <c r="E43" t="str">
        <f>VLOOKUP(A43,'BD Parametros'!B:M,12,FALSE)</f>
        <v>RE-065</v>
      </c>
    </row>
    <row r="44" spans="1:5" x14ac:dyDescent="0.3">
      <c r="A44" s="34" t="s">
        <v>192</v>
      </c>
      <c r="B44" s="35" t="s">
        <v>937</v>
      </c>
      <c r="C44" s="35" t="s">
        <v>934</v>
      </c>
      <c r="D44" s="36" t="s">
        <v>935</v>
      </c>
      <c r="E44" t="str">
        <f>VLOOKUP(A44,'BD Parametros'!B:M,12,FALSE)</f>
        <v>RE-066</v>
      </c>
    </row>
    <row r="45" spans="1:5" x14ac:dyDescent="0.3">
      <c r="A45" s="34" t="s">
        <v>195</v>
      </c>
      <c r="B45" s="35" t="s">
        <v>946</v>
      </c>
      <c r="C45" s="35" t="s">
        <v>944</v>
      </c>
      <c r="D45" s="36" t="s">
        <v>940</v>
      </c>
      <c r="E45" t="str">
        <f>VLOOKUP(A45,'BD Parametros'!B:M,12,FALSE)</f>
        <v>RE-067</v>
      </c>
    </row>
    <row r="46" spans="1:5" x14ac:dyDescent="0.3">
      <c r="A46" s="34" t="s">
        <v>198</v>
      </c>
      <c r="B46" s="35" t="s">
        <v>946</v>
      </c>
      <c r="C46" s="35" t="s">
        <v>944</v>
      </c>
      <c r="D46" s="36" t="s">
        <v>940</v>
      </c>
      <c r="E46" t="str">
        <f>VLOOKUP(A46,'BD Parametros'!B:M,12,FALSE)</f>
        <v>RE-071</v>
      </c>
    </row>
    <row r="47" spans="1:5" x14ac:dyDescent="0.3">
      <c r="A47" s="34" t="s">
        <v>204</v>
      </c>
      <c r="B47" s="35" t="s">
        <v>946</v>
      </c>
      <c r="C47" s="35" t="s">
        <v>944</v>
      </c>
      <c r="D47" s="36" t="s">
        <v>940</v>
      </c>
      <c r="E47" t="str">
        <f>VLOOKUP(A47,'BD Parametros'!B:M,12,FALSE)</f>
        <v>RE-075</v>
      </c>
    </row>
    <row r="48" spans="1:5" x14ac:dyDescent="0.3">
      <c r="A48" s="34" t="s">
        <v>207</v>
      </c>
      <c r="B48" s="35" t="s">
        <v>946</v>
      </c>
      <c r="C48" s="35" t="s">
        <v>944</v>
      </c>
      <c r="D48" s="36" t="s">
        <v>940</v>
      </c>
      <c r="E48" t="str">
        <f>VLOOKUP(A48,'BD Parametros'!B:M,12,FALSE)</f>
        <v>RE-076</v>
      </c>
    </row>
    <row r="49" spans="1:5" x14ac:dyDescent="0.3">
      <c r="A49" s="34" t="s">
        <v>210</v>
      </c>
      <c r="B49" s="35" t="s">
        <v>946</v>
      </c>
      <c r="C49" s="35" t="s">
        <v>944</v>
      </c>
      <c r="D49" s="36" t="s">
        <v>940</v>
      </c>
      <c r="E49" t="str">
        <f>VLOOKUP(A49,'BD Parametros'!B:M,12,FALSE)</f>
        <v>RE-077</v>
      </c>
    </row>
    <row r="50" spans="1:5" x14ac:dyDescent="0.3">
      <c r="A50" s="34" t="s">
        <v>213</v>
      </c>
      <c r="B50" s="35" t="s">
        <v>942</v>
      </c>
      <c r="C50" s="35" t="s">
        <v>944</v>
      </c>
      <c r="D50" s="36" t="s">
        <v>940</v>
      </c>
      <c r="E50" t="str">
        <f>VLOOKUP(A50,'BD Parametros'!B:M,12,FALSE)</f>
        <v>RE-078</v>
      </c>
    </row>
    <row r="51" spans="1:5" x14ac:dyDescent="0.3">
      <c r="A51" s="37" t="s">
        <v>216</v>
      </c>
      <c r="B51" s="38" t="s">
        <v>946</v>
      </c>
      <c r="C51" s="38" t="s">
        <v>944</v>
      </c>
      <c r="D51" s="39" t="s">
        <v>940</v>
      </c>
      <c r="E51" t="str">
        <f>VLOOKUP(A51,'BD Parametros'!B:M,12,FALSE)</f>
        <v>RE-080</v>
      </c>
    </row>
    <row r="52" spans="1:5" x14ac:dyDescent="0.3">
      <c r="A52" s="37" t="s">
        <v>219</v>
      </c>
      <c r="B52" s="38" t="s">
        <v>937</v>
      </c>
      <c r="C52" s="38" t="s">
        <v>934</v>
      </c>
      <c r="D52" s="39" t="s">
        <v>935</v>
      </c>
      <c r="E52" t="str">
        <f>VLOOKUP(A52,'BD Parametros'!B:M,12,FALSE)</f>
        <v>RE-081</v>
      </c>
    </row>
    <row r="53" spans="1:5" x14ac:dyDescent="0.3">
      <c r="A53" s="34" t="s">
        <v>222</v>
      </c>
      <c r="B53" s="35" t="s">
        <v>937</v>
      </c>
      <c r="C53" s="35" t="s">
        <v>934</v>
      </c>
      <c r="D53" s="36" t="s">
        <v>935</v>
      </c>
      <c r="E53" t="str">
        <f>VLOOKUP(A53,'BD Parametros'!B:M,12,FALSE)</f>
        <v>RE-082</v>
      </c>
    </row>
    <row r="54" spans="1:5" x14ac:dyDescent="0.3">
      <c r="A54" s="34" t="s">
        <v>225</v>
      </c>
      <c r="B54" s="35" t="s">
        <v>945</v>
      </c>
      <c r="C54" s="35" t="s">
        <v>931</v>
      </c>
      <c r="D54" s="36" t="s">
        <v>932</v>
      </c>
      <c r="E54" t="str">
        <f>VLOOKUP(A54,'BD Parametros'!B:M,12,FALSE)</f>
        <v>RE-083</v>
      </c>
    </row>
    <row r="55" spans="1:5" x14ac:dyDescent="0.3">
      <c r="A55" s="37" t="s">
        <v>228</v>
      </c>
      <c r="B55" s="38" t="s">
        <v>937</v>
      </c>
      <c r="C55" s="38" t="s">
        <v>934</v>
      </c>
      <c r="D55" s="39" t="s">
        <v>935</v>
      </c>
      <c r="E55" t="str">
        <f>VLOOKUP(A55,'BD Parametros'!B:M,12,FALSE)</f>
        <v>RE-085</v>
      </c>
    </row>
    <row r="56" spans="1:5" x14ac:dyDescent="0.3">
      <c r="A56" s="34" t="s">
        <v>231</v>
      </c>
      <c r="B56" s="35" t="s">
        <v>937</v>
      </c>
      <c r="C56" s="35" t="s">
        <v>941</v>
      </c>
      <c r="D56" s="36" t="s">
        <v>935</v>
      </c>
      <c r="E56" t="str">
        <f>VLOOKUP(A56,'BD Parametros'!B:M,12,FALSE)</f>
        <v>RE-086</v>
      </c>
    </row>
    <row r="57" spans="1:5" x14ac:dyDescent="0.3">
      <c r="A57" s="34" t="s">
        <v>234</v>
      </c>
      <c r="B57" s="35" t="s">
        <v>937</v>
      </c>
      <c r="C57" s="35" t="s">
        <v>941</v>
      </c>
      <c r="D57" s="36" t="s">
        <v>935</v>
      </c>
      <c r="E57" t="str">
        <f>VLOOKUP(A57,'BD Parametros'!B:M,12,FALSE)</f>
        <v>RE-087</v>
      </c>
    </row>
    <row r="58" spans="1:5" x14ac:dyDescent="0.3">
      <c r="A58" s="34" t="s">
        <v>237</v>
      </c>
      <c r="B58" s="35" t="s">
        <v>943</v>
      </c>
      <c r="C58" s="35" t="s">
        <v>944</v>
      </c>
      <c r="D58" s="36" t="s">
        <v>940</v>
      </c>
      <c r="E58" t="str">
        <f>VLOOKUP(A58,'BD Parametros'!B:M,12,FALSE)</f>
        <v>RE-090</v>
      </c>
    </row>
    <row r="59" spans="1:5" x14ac:dyDescent="0.3">
      <c r="A59" s="34" t="s">
        <v>240</v>
      </c>
      <c r="B59" s="35" t="s">
        <v>937</v>
      </c>
      <c r="C59" s="35" t="s">
        <v>934</v>
      </c>
      <c r="D59" s="36" t="s">
        <v>935</v>
      </c>
      <c r="E59" t="str">
        <f>VLOOKUP(A59,'BD Parametros'!B:M,12,FALSE)</f>
        <v>RE-093</v>
      </c>
    </row>
    <row r="60" spans="1:5" x14ac:dyDescent="0.3">
      <c r="A60" s="34" t="s">
        <v>243</v>
      </c>
      <c r="B60" s="35" t="s">
        <v>946</v>
      </c>
      <c r="C60" s="35" t="s">
        <v>944</v>
      </c>
      <c r="D60" s="36" t="s">
        <v>940</v>
      </c>
      <c r="E60" t="str">
        <f>VLOOKUP(A60,'BD Parametros'!B:M,12,FALSE)</f>
        <v>RE-106</v>
      </c>
    </row>
    <row r="61" spans="1:5" x14ac:dyDescent="0.3">
      <c r="A61" s="37" t="s">
        <v>246</v>
      </c>
      <c r="B61" s="38" t="s">
        <v>937</v>
      </c>
      <c r="C61" s="38" t="s">
        <v>934</v>
      </c>
      <c r="D61" s="39" t="s">
        <v>935</v>
      </c>
      <c r="E61" t="str">
        <f>VLOOKUP(A61,'BD Parametros'!B:M,12,FALSE)</f>
        <v>RE-108</v>
      </c>
    </row>
    <row r="62" spans="1:5" x14ac:dyDescent="0.3">
      <c r="A62" s="34" t="s">
        <v>947</v>
      </c>
      <c r="B62" s="35" t="s">
        <v>946</v>
      </c>
      <c r="C62" s="35" t="s">
        <v>944</v>
      </c>
      <c r="D62" s="36" t="s">
        <v>940</v>
      </c>
      <c r="E62" t="e">
        <f>VLOOKUP(A62,'BD Parametros'!B:M,12,FALSE)</f>
        <v>#N/A</v>
      </c>
    </row>
    <row r="63" spans="1:5" x14ac:dyDescent="0.3">
      <c r="A63" s="34" t="s">
        <v>249</v>
      </c>
      <c r="B63" s="35" t="s">
        <v>937</v>
      </c>
      <c r="C63" s="35" t="s">
        <v>934</v>
      </c>
      <c r="D63" s="36" t="s">
        <v>935</v>
      </c>
      <c r="E63" t="str">
        <f>VLOOKUP(A63,'BD Parametros'!B:M,12,FALSE)</f>
        <v>RE-112</v>
      </c>
    </row>
    <row r="64" spans="1:5" x14ac:dyDescent="0.3">
      <c r="A64" s="37" t="s">
        <v>252</v>
      </c>
      <c r="B64" s="38" t="s">
        <v>937</v>
      </c>
      <c r="C64" s="38" t="s">
        <v>941</v>
      </c>
      <c r="D64" s="39" t="s">
        <v>935</v>
      </c>
      <c r="E64" t="str">
        <f>VLOOKUP(A64,'BD Parametros'!B:M,12,FALSE)</f>
        <v>RE-115</v>
      </c>
    </row>
    <row r="65" spans="1:5" x14ac:dyDescent="0.3">
      <c r="A65" s="34" t="s">
        <v>256</v>
      </c>
      <c r="B65" s="35" t="s">
        <v>937</v>
      </c>
      <c r="C65" s="35" t="s">
        <v>941</v>
      </c>
      <c r="D65" s="36" t="s">
        <v>935</v>
      </c>
      <c r="E65" t="str">
        <f>VLOOKUP(A65,'BD Parametros'!B:M,12,FALSE)</f>
        <v>RE-116</v>
      </c>
    </row>
    <row r="66" spans="1:5" x14ac:dyDescent="0.3">
      <c r="A66" s="34" t="s">
        <v>259</v>
      </c>
      <c r="B66" s="35" t="s">
        <v>937</v>
      </c>
      <c r="C66" s="35" t="s">
        <v>941</v>
      </c>
      <c r="D66" s="36" t="s">
        <v>935</v>
      </c>
      <c r="E66" t="str">
        <f>VLOOKUP(A66,'BD Parametros'!B:M,12,FALSE)</f>
        <v>RE-117</v>
      </c>
    </row>
    <row r="67" spans="1:5" x14ac:dyDescent="0.3">
      <c r="A67" s="34" t="s">
        <v>262</v>
      </c>
      <c r="B67" s="35" t="s">
        <v>937</v>
      </c>
      <c r="C67" s="35" t="s">
        <v>941</v>
      </c>
      <c r="D67" s="36" t="s">
        <v>935</v>
      </c>
      <c r="E67" t="str">
        <f>VLOOKUP(A67,'BD Parametros'!B:M,12,FALSE)</f>
        <v>RE-118</v>
      </c>
    </row>
    <row r="68" spans="1:5" x14ac:dyDescent="0.3">
      <c r="A68" s="34" t="s">
        <v>265</v>
      </c>
      <c r="B68" s="35" t="s">
        <v>937</v>
      </c>
      <c r="C68" s="35" t="s">
        <v>941</v>
      </c>
      <c r="D68" s="36" t="s">
        <v>935</v>
      </c>
      <c r="E68" t="str">
        <f>VLOOKUP(A68,'BD Parametros'!B:M,12,FALSE)</f>
        <v>RE-119</v>
      </c>
    </row>
    <row r="69" spans="1:5" x14ac:dyDescent="0.3">
      <c r="A69" s="34" t="s">
        <v>268</v>
      </c>
      <c r="B69" s="35" t="s">
        <v>937</v>
      </c>
      <c r="C69" s="35" t="s">
        <v>941</v>
      </c>
      <c r="D69" s="36" t="s">
        <v>935</v>
      </c>
      <c r="E69" t="str">
        <f>VLOOKUP(A69,'BD Parametros'!B:M,12,FALSE)</f>
        <v>RE-120</v>
      </c>
    </row>
    <row r="70" spans="1:5" x14ac:dyDescent="0.3">
      <c r="A70" s="37" t="s">
        <v>271</v>
      </c>
      <c r="B70" s="38" t="s">
        <v>937</v>
      </c>
      <c r="C70" s="38" t="s">
        <v>941</v>
      </c>
      <c r="D70" s="39" t="s">
        <v>935</v>
      </c>
      <c r="E70" t="str">
        <f>VLOOKUP(A70,'BD Parametros'!B:M,12,FALSE)</f>
        <v>RE-121</v>
      </c>
    </row>
    <row r="71" spans="1:5" x14ac:dyDescent="0.3">
      <c r="A71" s="34" t="s">
        <v>274</v>
      </c>
      <c r="B71" s="35" t="s">
        <v>937</v>
      </c>
      <c r="C71" s="35" t="s">
        <v>934</v>
      </c>
      <c r="D71" s="36" t="s">
        <v>935</v>
      </c>
      <c r="E71" t="str">
        <f>VLOOKUP(A71,'BD Parametros'!B:M,12,FALSE)</f>
        <v>RE-122</v>
      </c>
    </row>
    <row r="72" spans="1:5" x14ac:dyDescent="0.3">
      <c r="A72" s="37" t="s">
        <v>277</v>
      </c>
      <c r="B72" s="38" t="s">
        <v>937</v>
      </c>
      <c r="C72" s="38" t="s">
        <v>934</v>
      </c>
      <c r="D72" s="39" t="s">
        <v>935</v>
      </c>
      <c r="E72" t="str">
        <f>VLOOKUP(A72,'BD Parametros'!B:M,12,FALSE)</f>
        <v>RE-123</v>
      </c>
    </row>
    <row r="73" spans="1:5" x14ac:dyDescent="0.3">
      <c r="A73" s="34" t="s">
        <v>280</v>
      </c>
      <c r="B73" s="35" t="s">
        <v>937</v>
      </c>
      <c r="C73" s="35" t="s">
        <v>941</v>
      </c>
      <c r="D73" s="36" t="s">
        <v>935</v>
      </c>
      <c r="E73" t="str">
        <f>VLOOKUP(A73,'BD Parametros'!B:M,12,FALSE)</f>
        <v>RE-124</v>
      </c>
    </row>
    <row r="74" spans="1:5" x14ac:dyDescent="0.3">
      <c r="A74" s="37" t="s">
        <v>283</v>
      </c>
      <c r="B74" s="38" t="s">
        <v>937</v>
      </c>
      <c r="C74" s="38" t="s">
        <v>941</v>
      </c>
      <c r="D74" s="39" t="s">
        <v>935</v>
      </c>
      <c r="E74" t="str">
        <f>VLOOKUP(A74,'BD Parametros'!B:M,12,FALSE)</f>
        <v>RE-125</v>
      </c>
    </row>
    <row r="75" spans="1:5" x14ac:dyDescent="0.3">
      <c r="A75" s="34" t="s">
        <v>286</v>
      </c>
      <c r="B75" s="35" t="s">
        <v>937</v>
      </c>
      <c r="C75" s="35" t="s">
        <v>941</v>
      </c>
      <c r="D75" s="36" t="s">
        <v>935</v>
      </c>
      <c r="E75" t="str">
        <f>VLOOKUP(A75,'BD Parametros'!B:M,12,FALSE)</f>
        <v>RE-126</v>
      </c>
    </row>
    <row r="76" spans="1:5" x14ac:dyDescent="0.3">
      <c r="A76" s="34" t="s">
        <v>289</v>
      </c>
      <c r="B76" s="35" t="s">
        <v>937</v>
      </c>
      <c r="C76" s="35" t="s">
        <v>934</v>
      </c>
      <c r="D76" s="36" t="s">
        <v>935</v>
      </c>
      <c r="E76" t="str">
        <f>VLOOKUP(A76,'BD Parametros'!B:M,12,FALSE)</f>
        <v>RE-127</v>
      </c>
    </row>
    <row r="77" spans="1:5" x14ac:dyDescent="0.3">
      <c r="A77" s="34" t="s">
        <v>292</v>
      </c>
      <c r="B77" s="35" t="s">
        <v>937</v>
      </c>
      <c r="C77" s="35" t="s">
        <v>941</v>
      </c>
      <c r="D77" s="36" t="s">
        <v>935</v>
      </c>
      <c r="E77" t="str">
        <f>VLOOKUP(A77,'BD Parametros'!B:M,12,FALSE)</f>
        <v>RE-128</v>
      </c>
    </row>
    <row r="78" spans="1:5" x14ac:dyDescent="0.3">
      <c r="A78" s="34" t="s">
        <v>295</v>
      </c>
      <c r="B78" s="35" t="s">
        <v>937</v>
      </c>
      <c r="C78" s="35" t="s">
        <v>941</v>
      </c>
      <c r="D78" s="36" t="s">
        <v>935</v>
      </c>
      <c r="E78" t="str">
        <f>VLOOKUP(A78,'BD Parametros'!B:M,12,FALSE)</f>
        <v>RE-129</v>
      </c>
    </row>
    <row r="79" spans="1:5" x14ac:dyDescent="0.3">
      <c r="A79" s="34" t="s">
        <v>298</v>
      </c>
      <c r="B79" s="35" t="s">
        <v>937</v>
      </c>
      <c r="C79" s="35" t="s">
        <v>941</v>
      </c>
      <c r="D79" s="36" t="s">
        <v>935</v>
      </c>
      <c r="E79" t="str">
        <f>VLOOKUP(A79,'BD Parametros'!B:M,12,FALSE)</f>
        <v>RE-130</v>
      </c>
    </row>
    <row r="80" spans="1:5" x14ac:dyDescent="0.3">
      <c r="A80" s="34" t="s">
        <v>301</v>
      </c>
      <c r="B80" s="35" t="s">
        <v>937</v>
      </c>
      <c r="C80" s="35" t="s">
        <v>941</v>
      </c>
      <c r="D80" s="36" t="s">
        <v>935</v>
      </c>
      <c r="E80" t="str">
        <f>VLOOKUP(A80,'BD Parametros'!B:M,12,FALSE)</f>
        <v>RE-131</v>
      </c>
    </row>
    <row r="81" spans="1:5" x14ac:dyDescent="0.3">
      <c r="A81" s="34" t="s">
        <v>304</v>
      </c>
      <c r="B81" s="35" t="s">
        <v>937</v>
      </c>
      <c r="C81" s="35" t="s">
        <v>941</v>
      </c>
      <c r="D81" s="36" t="s">
        <v>935</v>
      </c>
      <c r="E81" t="str">
        <f>VLOOKUP(A81,'BD Parametros'!B:M,12,FALSE)</f>
        <v>RE-132</v>
      </c>
    </row>
    <row r="82" spans="1:5" x14ac:dyDescent="0.3">
      <c r="A82" s="34" t="s">
        <v>309</v>
      </c>
      <c r="B82" s="35" t="s">
        <v>937</v>
      </c>
      <c r="C82" s="35" t="s">
        <v>941</v>
      </c>
      <c r="D82" s="36" t="s">
        <v>935</v>
      </c>
      <c r="E82" t="str">
        <f>VLOOKUP(A82,'BD Parametros'!B:M,12,FALSE)</f>
        <v>RE-133</v>
      </c>
    </row>
    <row r="83" spans="1:5" x14ac:dyDescent="0.3">
      <c r="A83" s="34" t="s">
        <v>312</v>
      </c>
      <c r="B83" s="35" t="s">
        <v>937</v>
      </c>
      <c r="C83" s="35" t="s">
        <v>941</v>
      </c>
      <c r="D83" s="36" t="s">
        <v>935</v>
      </c>
      <c r="E83" t="str">
        <f>VLOOKUP(A83,'BD Parametros'!B:M,12,FALSE)</f>
        <v>RE-134</v>
      </c>
    </row>
    <row r="84" spans="1:5" x14ac:dyDescent="0.3">
      <c r="A84" s="37" t="s">
        <v>315</v>
      </c>
      <c r="B84" s="38" t="s">
        <v>937</v>
      </c>
      <c r="C84" s="38" t="s">
        <v>941</v>
      </c>
      <c r="D84" s="39" t="s">
        <v>935</v>
      </c>
      <c r="E84" t="str">
        <f>VLOOKUP(A84,'BD Parametros'!B:M,12,FALSE)</f>
        <v>RE-135</v>
      </c>
    </row>
    <row r="85" spans="1:5" x14ac:dyDescent="0.3">
      <c r="A85" s="37" t="s">
        <v>318</v>
      </c>
      <c r="B85" s="38" t="s">
        <v>937</v>
      </c>
      <c r="C85" s="38" t="s">
        <v>941</v>
      </c>
      <c r="D85" s="39" t="s">
        <v>935</v>
      </c>
      <c r="E85" t="str">
        <f>VLOOKUP(A85,'BD Parametros'!B:M,12,FALSE)</f>
        <v>RE-136</v>
      </c>
    </row>
    <row r="86" spans="1:5" x14ac:dyDescent="0.3">
      <c r="A86" s="34" t="s">
        <v>321</v>
      </c>
      <c r="B86" s="35" t="s">
        <v>937</v>
      </c>
      <c r="C86" s="35" t="s">
        <v>941</v>
      </c>
      <c r="D86" s="36" t="s">
        <v>935</v>
      </c>
      <c r="E86" t="str">
        <f>VLOOKUP(A86,'BD Parametros'!B:M,12,FALSE)</f>
        <v>RE-137</v>
      </c>
    </row>
    <row r="87" spans="1:5" x14ac:dyDescent="0.3">
      <c r="A87" s="34" t="s">
        <v>324</v>
      </c>
      <c r="B87" s="35" t="s">
        <v>937</v>
      </c>
      <c r="C87" s="35" t="s">
        <v>941</v>
      </c>
      <c r="D87" s="36" t="s">
        <v>935</v>
      </c>
      <c r="E87" t="str">
        <f>VLOOKUP(A87,'BD Parametros'!B:M,12,FALSE)</f>
        <v>RE-138</v>
      </c>
    </row>
    <row r="88" spans="1:5" x14ac:dyDescent="0.3">
      <c r="A88" s="34" t="s">
        <v>327</v>
      </c>
      <c r="B88" s="35" t="s">
        <v>938</v>
      </c>
      <c r="C88" s="35" t="s">
        <v>939</v>
      </c>
      <c r="D88" s="36" t="s">
        <v>940</v>
      </c>
      <c r="E88" t="str">
        <f>VLOOKUP(A88,'BD Parametros'!B:M,12,FALSE)</f>
        <v>RE-139</v>
      </c>
    </row>
    <row r="89" spans="1:5" x14ac:dyDescent="0.3">
      <c r="A89" s="37" t="s">
        <v>331</v>
      </c>
      <c r="B89" s="38" t="s">
        <v>938</v>
      </c>
      <c r="C89" s="38" t="s">
        <v>939</v>
      </c>
      <c r="D89" s="39" t="s">
        <v>940</v>
      </c>
      <c r="E89" t="str">
        <f>VLOOKUP(A89,'BD Parametros'!B:M,12,FALSE)</f>
        <v>RE-140</v>
      </c>
    </row>
    <row r="90" spans="1:5" x14ac:dyDescent="0.3">
      <c r="A90" s="34" t="s">
        <v>334</v>
      </c>
      <c r="B90" s="35" t="s">
        <v>938</v>
      </c>
      <c r="C90" s="35" t="s">
        <v>939</v>
      </c>
      <c r="D90" s="36" t="s">
        <v>940</v>
      </c>
      <c r="E90" t="str">
        <f>VLOOKUP(A90,'BD Parametros'!B:M,12,FALSE)</f>
        <v>RE-141</v>
      </c>
    </row>
    <row r="91" spans="1:5" x14ac:dyDescent="0.3">
      <c r="A91" s="37" t="s">
        <v>337</v>
      </c>
      <c r="B91" s="38" t="s">
        <v>937</v>
      </c>
      <c r="C91" s="38" t="s">
        <v>941</v>
      </c>
      <c r="D91" s="39" t="s">
        <v>935</v>
      </c>
      <c r="E91" t="str">
        <f>VLOOKUP(A91,'BD Parametros'!B:M,12,FALSE)</f>
        <v>RE-142</v>
      </c>
    </row>
    <row r="92" spans="1:5" x14ac:dyDescent="0.3">
      <c r="A92" s="37" t="s">
        <v>340</v>
      </c>
      <c r="B92" s="38" t="s">
        <v>938</v>
      </c>
      <c r="C92" s="38" t="s">
        <v>939</v>
      </c>
      <c r="D92" s="39" t="s">
        <v>940</v>
      </c>
      <c r="E92" t="str">
        <f>VLOOKUP(A92,'BD Parametros'!B:M,12,FALSE)</f>
        <v>RE-143</v>
      </c>
    </row>
    <row r="93" spans="1:5" x14ac:dyDescent="0.3">
      <c r="A93" s="34" t="s">
        <v>343</v>
      </c>
      <c r="B93" s="35" t="s">
        <v>937</v>
      </c>
      <c r="C93" s="35" t="s">
        <v>941</v>
      </c>
      <c r="D93" s="36" t="s">
        <v>935</v>
      </c>
      <c r="E93" t="str">
        <f>VLOOKUP(A93,'BD Parametros'!B:M,12,FALSE)</f>
        <v>RE-144</v>
      </c>
    </row>
    <row r="94" spans="1:5" x14ac:dyDescent="0.3">
      <c r="A94" s="37" t="s">
        <v>346</v>
      </c>
      <c r="B94" s="38" t="s">
        <v>937</v>
      </c>
      <c r="C94" s="38" t="s">
        <v>941</v>
      </c>
      <c r="D94" s="39" t="s">
        <v>935</v>
      </c>
      <c r="E94" t="str">
        <f>VLOOKUP(A94,'BD Parametros'!B:M,12,FALSE)</f>
        <v>RE-145</v>
      </c>
    </row>
    <row r="95" spans="1:5" x14ac:dyDescent="0.3">
      <c r="A95" s="34" t="s">
        <v>349</v>
      </c>
      <c r="B95" s="35" t="s">
        <v>937</v>
      </c>
      <c r="C95" s="35" t="s">
        <v>941</v>
      </c>
      <c r="D95" s="36" t="s">
        <v>935</v>
      </c>
      <c r="E95" t="str">
        <f>VLOOKUP(A95,'BD Parametros'!B:M,12,FALSE)</f>
        <v>RE-146</v>
      </c>
    </row>
    <row r="96" spans="1:5" x14ac:dyDescent="0.3">
      <c r="A96" s="34" t="s">
        <v>352</v>
      </c>
      <c r="B96" s="35" t="s">
        <v>937</v>
      </c>
      <c r="C96" s="35" t="s">
        <v>941</v>
      </c>
      <c r="D96" s="36" t="s">
        <v>935</v>
      </c>
      <c r="E96" t="str">
        <f>VLOOKUP(A96,'BD Parametros'!B:M,12,FALSE)</f>
        <v>RE-147</v>
      </c>
    </row>
    <row r="97" spans="1:5" x14ac:dyDescent="0.3">
      <c r="A97" s="34" t="s">
        <v>355</v>
      </c>
      <c r="B97" s="35" t="s">
        <v>937</v>
      </c>
      <c r="C97" s="35" t="s">
        <v>941</v>
      </c>
      <c r="D97" s="36" t="s">
        <v>935</v>
      </c>
      <c r="E97" t="str">
        <f>VLOOKUP(A97,'BD Parametros'!B:M,12,FALSE)</f>
        <v>RE-148</v>
      </c>
    </row>
    <row r="98" spans="1:5" x14ac:dyDescent="0.3">
      <c r="A98" s="37" t="s">
        <v>358</v>
      </c>
      <c r="B98" s="38" t="s">
        <v>937</v>
      </c>
      <c r="C98" s="38" t="s">
        <v>934</v>
      </c>
      <c r="D98" s="39" t="s">
        <v>935</v>
      </c>
      <c r="E98" t="str">
        <f>VLOOKUP(A98,'BD Parametros'!B:M,12,FALSE)</f>
        <v>RE-149</v>
      </c>
    </row>
    <row r="99" spans="1:5" x14ac:dyDescent="0.3">
      <c r="A99" s="34" t="s">
        <v>361</v>
      </c>
      <c r="B99" s="35" t="s">
        <v>937</v>
      </c>
      <c r="C99" s="35" t="s">
        <v>941</v>
      </c>
      <c r="D99" s="36" t="s">
        <v>935</v>
      </c>
      <c r="E99" t="str">
        <f>VLOOKUP(A99,'BD Parametros'!B:M,12,FALSE)</f>
        <v>RE-150</v>
      </c>
    </row>
    <row r="100" spans="1:5" x14ac:dyDescent="0.3">
      <c r="A100" s="37" t="s">
        <v>364</v>
      </c>
      <c r="B100" s="38" t="s">
        <v>937</v>
      </c>
      <c r="C100" s="38" t="s">
        <v>941</v>
      </c>
      <c r="D100" s="39" t="s">
        <v>935</v>
      </c>
      <c r="E100" t="str">
        <f>VLOOKUP(A100,'BD Parametros'!B:M,12,FALSE)</f>
        <v>RE-151</v>
      </c>
    </row>
    <row r="101" spans="1:5" x14ac:dyDescent="0.3">
      <c r="A101" s="34" t="s">
        <v>367</v>
      </c>
      <c r="B101" s="35" t="s">
        <v>937</v>
      </c>
      <c r="C101" s="35" t="s">
        <v>941</v>
      </c>
      <c r="D101" s="36" t="s">
        <v>935</v>
      </c>
      <c r="E101" t="str">
        <f>VLOOKUP(A101,'BD Parametros'!B:M,12,FALSE)</f>
        <v>RE-152</v>
      </c>
    </row>
    <row r="102" spans="1:5" x14ac:dyDescent="0.3">
      <c r="A102" s="34" t="s">
        <v>370</v>
      </c>
      <c r="B102" s="35" t="s">
        <v>937</v>
      </c>
      <c r="C102" s="35" t="s">
        <v>941</v>
      </c>
      <c r="D102" s="36" t="s">
        <v>935</v>
      </c>
      <c r="E102" t="str">
        <f>VLOOKUP(A102,'BD Parametros'!B:M,12,FALSE)</f>
        <v>RE-153</v>
      </c>
    </row>
    <row r="103" spans="1:5" x14ac:dyDescent="0.3">
      <c r="A103" s="34" t="s">
        <v>373</v>
      </c>
      <c r="B103" s="35" t="s">
        <v>937</v>
      </c>
      <c r="C103" s="35" t="s">
        <v>941</v>
      </c>
      <c r="D103" s="36" t="s">
        <v>935</v>
      </c>
      <c r="E103" t="str">
        <f>VLOOKUP(A103,'BD Parametros'!B:M,12,FALSE)</f>
        <v>RE-154</v>
      </c>
    </row>
    <row r="104" spans="1:5" x14ac:dyDescent="0.3">
      <c r="A104" s="34" t="s">
        <v>376</v>
      </c>
      <c r="B104" s="35" t="s">
        <v>937</v>
      </c>
      <c r="C104" s="35" t="s">
        <v>941</v>
      </c>
      <c r="D104" s="36" t="s">
        <v>935</v>
      </c>
      <c r="E104" t="str">
        <f>VLOOKUP(A104,'BD Parametros'!B:M,12,FALSE)</f>
        <v>RE-155</v>
      </c>
    </row>
    <row r="105" spans="1:5" x14ac:dyDescent="0.3">
      <c r="A105" s="34" t="s">
        <v>379</v>
      </c>
      <c r="B105" s="35" t="s">
        <v>938</v>
      </c>
      <c r="C105" s="35" t="s">
        <v>939</v>
      </c>
      <c r="D105" s="36" t="s">
        <v>940</v>
      </c>
      <c r="E105" t="str">
        <f>VLOOKUP(A105,'BD Parametros'!B:M,12,FALSE)</f>
        <v>RE-156</v>
      </c>
    </row>
    <row r="106" spans="1:5" x14ac:dyDescent="0.3">
      <c r="A106" s="34" t="s">
        <v>382</v>
      </c>
      <c r="B106" s="35" t="s">
        <v>937</v>
      </c>
      <c r="C106" s="35" t="s">
        <v>941</v>
      </c>
      <c r="D106" s="36" t="s">
        <v>935</v>
      </c>
      <c r="E106" t="str">
        <f>VLOOKUP(A106,'BD Parametros'!B:M,12,FALSE)</f>
        <v>RE-157</v>
      </c>
    </row>
    <row r="107" spans="1:5" x14ac:dyDescent="0.3">
      <c r="A107" s="34" t="s">
        <v>385</v>
      </c>
      <c r="B107" s="35" t="s">
        <v>937</v>
      </c>
      <c r="C107" s="35" t="s">
        <v>941</v>
      </c>
      <c r="D107" s="36" t="s">
        <v>935</v>
      </c>
      <c r="E107" t="str">
        <f>VLOOKUP(A107,'BD Parametros'!B:M,12,FALSE)</f>
        <v>RE-158</v>
      </c>
    </row>
    <row r="108" spans="1:5" x14ac:dyDescent="0.3">
      <c r="A108" s="34" t="s">
        <v>388</v>
      </c>
      <c r="B108" s="35" t="s">
        <v>937</v>
      </c>
      <c r="C108" s="35" t="s">
        <v>941</v>
      </c>
      <c r="D108" s="36" t="s">
        <v>935</v>
      </c>
      <c r="E108" t="str">
        <f>VLOOKUP(A108,'BD Parametros'!B:M,12,FALSE)</f>
        <v>RE-159</v>
      </c>
    </row>
    <row r="109" spans="1:5" x14ac:dyDescent="0.3">
      <c r="A109" s="34" t="s">
        <v>391</v>
      </c>
      <c r="B109" s="35" t="s">
        <v>937</v>
      </c>
      <c r="C109" s="35" t="s">
        <v>941</v>
      </c>
      <c r="D109" s="36" t="s">
        <v>935</v>
      </c>
      <c r="E109" t="str">
        <f>VLOOKUP(A109,'BD Parametros'!B:M,12,FALSE)</f>
        <v>RE-160</v>
      </c>
    </row>
    <row r="110" spans="1:5" x14ac:dyDescent="0.3">
      <c r="A110" s="34" t="s">
        <v>395</v>
      </c>
      <c r="B110" s="35" t="s">
        <v>937</v>
      </c>
      <c r="C110" s="35" t="s">
        <v>941</v>
      </c>
      <c r="D110" s="36" t="s">
        <v>935</v>
      </c>
      <c r="E110" t="str">
        <f>VLOOKUP(A110,'BD Parametros'!B:M,12,FALSE)</f>
        <v>RE-161</v>
      </c>
    </row>
    <row r="111" spans="1:5" x14ac:dyDescent="0.3">
      <c r="A111" s="34" t="s">
        <v>398</v>
      </c>
      <c r="B111" s="35" t="s">
        <v>937</v>
      </c>
      <c r="C111" s="35" t="s">
        <v>941</v>
      </c>
      <c r="D111" s="36" t="s">
        <v>935</v>
      </c>
      <c r="E111" t="str">
        <f>VLOOKUP(A111,'BD Parametros'!B:M,12,FALSE)</f>
        <v>RE-162</v>
      </c>
    </row>
    <row r="112" spans="1:5" x14ac:dyDescent="0.3">
      <c r="A112" s="34" t="s">
        <v>401</v>
      </c>
      <c r="B112" s="35" t="s">
        <v>938</v>
      </c>
      <c r="C112" s="35" t="s">
        <v>939</v>
      </c>
      <c r="D112" s="36" t="s">
        <v>940</v>
      </c>
      <c r="E112" t="str">
        <f>VLOOKUP(A112,'BD Parametros'!B:M,12,FALSE)</f>
        <v>RE-163</v>
      </c>
    </row>
    <row r="113" spans="1:5" x14ac:dyDescent="0.3">
      <c r="A113" s="37" t="s">
        <v>404</v>
      </c>
      <c r="B113" s="38" t="s">
        <v>937</v>
      </c>
      <c r="C113" s="38" t="s">
        <v>941</v>
      </c>
      <c r="D113" s="39" t="s">
        <v>935</v>
      </c>
      <c r="E113" t="str">
        <f>VLOOKUP(A113,'BD Parametros'!B:M,12,FALSE)</f>
        <v>RE-164</v>
      </c>
    </row>
    <row r="114" spans="1:5" x14ac:dyDescent="0.3">
      <c r="A114" s="34" t="s">
        <v>407</v>
      </c>
      <c r="B114" s="35" t="s">
        <v>937</v>
      </c>
      <c r="C114" s="35" t="s">
        <v>941</v>
      </c>
      <c r="D114" s="36" t="s">
        <v>935</v>
      </c>
      <c r="E114" t="str">
        <f>VLOOKUP(A114,'BD Parametros'!B:M,12,FALSE)</f>
        <v>RE-165</v>
      </c>
    </row>
    <row r="115" spans="1:5" x14ac:dyDescent="0.3">
      <c r="A115" s="34" t="s">
        <v>410</v>
      </c>
      <c r="B115" s="35" t="s">
        <v>936</v>
      </c>
      <c r="C115" s="35" t="s">
        <v>931</v>
      </c>
      <c r="D115" s="36" t="s">
        <v>932</v>
      </c>
      <c r="E115" t="str">
        <f>VLOOKUP(A115,'BD Parametros'!B:M,12,FALSE)</f>
        <v>RE-166</v>
      </c>
    </row>
    <row r="116" spans="1:5" x14ac:dyDescent="0.3">
      <c r="A116" s="34" t="s">
        <v>413</v>
      </c>
      <c r="B116" s="35" t="s">
        <v>937</v>
      </c>
      <c r="C116" s="35" t="s">
        <v>941</v>
      </c>
      <c r="D116" s="36" t="s">
        <v>935</v>
      </c>
      <c r="E116" t="str">
        <f>VLOOKUP(A116,'BD Parametros'!B:M,12,FALSE)</f>
        <v>RE-167</v>
      </c>
    </row>
    <row r="117" spans="1:5" x14ac:dyDescent="0.3">
      <c r="A117" s="34" t="s">
        <v>416</v>
      </c>
      <c r="B117" s="35" t="s">
        <v>937</v>
      </c>
      <c r="C117" s="35" t="s">
        <v>941</v>
      </c>
      <c r="D117" s="36" t="s">
        <v>935</v>
      </c>
      <c r="E117" t="str">
        <f>VLOOKUP(A117,'BD Parametros'!B:M,12,FALSE)</f>
        <v>RE-168</v>
      </c>
    </row>
    <row r="118" spans="1:5" x14ac:dyDescent="0.3">
      <c r="A118" s="34" t="s">
        <v>419</v>
      </c>
      <c r="B118" s="35" t="s">
        <v>937</v>
      </c>
      <c r="C118" s="35" t="s">
        <v>941</v>
      </c>
      <c r="D118" s="36" t="s">
        <v>935</v>
      </c>
      <c r="E118" t="str">
        <f>VLOOKUP(A118,'BD Parametros'!B:M,12,FALSE)</f>
        <v>RE-169</v>
      </c>
    </row>
    <row r="119" spans="1:5" x14ac:dyDescent="0.3">
      <c r="A119" s="34" t="s">
        <v>422</v>
      </c>
      <c r="B119" s="35" t="s">
        <v>937</v>
      </c>
      <c r="C119" s="35" t="s">
        <v>941</v>
      </c>
      <c r="D119" s="36" t="s">
        <v>935</v>
      </c>
      <c r="E119" t="str">
        <f>VLOOKUP(A119,'BD Parametros'!B:M,12,FALSE)</f>
        <v>RE-170</v>
      </c>
    </row>
    <row r="120" spans="1:5" x14ac:dyDescent="0.3">
      <c r="A120" s="34" t="s">
        <v>425</v>
      </c>
      <c r="B120" s="35" t="s">
        <v>937</v>
      </c>
      <c r="C120" s="35" t="s">
        <v>941</v>
      </c>
      <c r="D120" s="36" t="s">
        <v>935</v>
      </c>
      <c r="E120" t="str">
        <f>VLOOKUP(A120,'BD Parametros'!B:M,12,FALSE)</f>
        <v>RE-171</v>
      </c>
    </row>
    <row r="121" spans="1:5" x14ac:dyDescent="0.3">
      <c r="A121" s="34" t="s">
        <v>428</v>
      </c>
      <c r="B121" s="35" t="s">
        <v>942</v>
      </c>
      <c r="C121" s="35" t="s">
        <v>944</v>
      </c>
      <c r="D121" s="36" t="s">
        <v>940</v>
      </c>
      <c r="E121" t="str">
        <f>VLOOKUP(A121,'BD Parametros'!B:M,12,FALSE)</f>
        <v>RE-172</v>
      </c>
    </row>
    <row r="122" spans="1:5" x14ac:dyDescent="0.3">
      <c r="A122" s="34" t="s">
        <v>431</v>
      </c>
      <c r="B122" s="35" t="s">
        <v>937</v>
      </c>
      <c r="C122" s="35" t="s">
        <v>941</v>
      </c>
      <c r="D122" s="36" t="s">
        <v>935</v>
      </c>
      <c r="E122" t="str">
        <f>VLOOKUP(A122,'BD Parametros'!B:M,12,FALSE)</f>
        <v>RE-173</v>
      </c>
    </row>
    <row r="123" spans="1:5" x14ac:dyDescent="0.3">
      <c r="A123" s="34" t="s">
        <v>434</v>
      </c>
      <c r="B123" s="35" t="s">
        <v>937</v>
      </c>
      <c r="C123" s="35" t="s">
        <v>941</v>
      </c>
      <c r="D123" s="36" t="s">
        <v>935</v>
      </c>
      <c r="E123" t="str">
        <f>VLOOKUP(A123,'BD Parametros'!B:M,12,FALSE)</f>
        <v>RE-174</v>
      </c>
    </row>
    <row r="124" spans="1:5" x14ac:dyDescent="0.3">
      <c r="A124" s="34" t="s">
        <v>437</v>
      </c>
      <c r="B124" s="35" t="s">
        <v>936</v>
      </c>
      <c r="C124" s="35" t="s">
        <v>931</v>
      </c>
      <c r="D124" s="36" t="s">
        <v>932</v>
      </c>
      <c r="E124" t="str">
        <f>VLOOKUP(A124,'BD Parametros'!B:M,12,FALSE)</f>
        <v>RE-175</v>
      </c>
    </row>
    <row r="125" spans="1:5" x14ac:dyDescent="0.3">
      <c r="A125" s="34" t="s">
        <v>440</v>
      </c>
      <c r="B125" s="35" t="s">
        <v>937</v>
      </c>
      <c r="C125" s="35" t="s">
        <v>941</v>
      </c>
      <c r="D125" s="36" t="s">
        <v>935</v>
      </c>
      <c r="E125" t="str">
        <f>VLOOKUP(A125,'BD Parametros'!B:M,12,FALSE)</f>
        <v>RE-176</v>
      </c>
    </row>
    <row r="126" spans="1:5" x14ac:dyDescent="0.3">
      <c r="A126" s="37" t="s">
        <v>443</v>
      </c>
      <c r="B126" s="38" t="s">
        <v>937</v>
      </c>
      <c r="C126" s="38" t="s">
        <v>941</v>
      </c>
      <c r="D126" s="39" t="s">
        <v>935</v>
      </c>
      <c r="E126" t="str">
        <f>VLOOKUP(A126,'BD Parametros'!B:M,12,FALSE)</f>
        <v>RE-177</v>
      </c>
    </row>
    <row r="127" spans="1:5" x14ac:dyDescent="0.3">
      <c r="A127" s="34" t="s">
        <v>446</v>
      </c>
      <c r="B127" s="35" t="s">
        <v>945</v>
      </c>
      <c r="C127" s="35" t="s">
        <v>931</v>
      </c>
      <c r="D127" s="36" t="s">
        <v>932</v>
      </c>
      <c r="E127" t="str">
        <f>VLOOKUP(A127,'BD Parametros'!B:M,12,FALSE)</f>
        <v>RE-178</v>
      </c>
    </row>
    <row r="128" spans="1:5" x14ac:dyDescent="0.3">
      <c r="A128" s="34" t="s">
        <v>449</v>
      </c>
      <c r="B128" s="35" t="s">
        <v>937</v>
      </c>
      <c r="C128" s="35" t="s">
        <v>941</v>
      </c>
      <c r="D128" s="36" t="s">
        <v>935</v>
      </c>
      <c r="E128" t="str">
        <f>VLOOKUP(A128,'BD Parametros'!B:M,12,FALSE)</f>
        <v>RE-179</v>
      </c>
    </row>
    <row r="129" spans="1:5" x14ac:dyDescent="0.3">
      <c r="A129" s="37" t="s">
        <v>452</v>
      </c>
      <c r="B129" s="38" t="s">
        <v>948</v>
      </c>
      <c r="C129" s="38" t="s">
        <v>931</v>
      </c>
      <c r="D129" s="39" t="s">
        <v>932</v>
      </c>
      <c r="E129" t="str">
        <f>VLOOKUP(A129,'BD Parametros'!B:M,12,FALSE)</f>
        <v>RE-180</v>
      </c>
    </row>
    <row r="130" spans="1:5" x14ac:dyDescent="0.3">
      <c r="A130" s="34" t="s">
        <v>455</v>
      </c>
      <c r="B130" s="35" t="s">
        <v>942</v>
      </c>
      <c r="C130" s="35" t="s">
        <v>944</v>
      </c>
      <c r="D130" s="36" t="s">
        <v>940</v>
      </c>
      <c r="E130" t="str">
        <f>VLOOKUP(A130,'BD Parametros'!B:M,12,FALSE)</f>
        <v>RE-181</v>
      </c>
    </row>
    <row r="131" spans="1:5" x14ac:dyDescent="0.3">
      <c r="A131" s="34" t="s">
        <v>458</v>
      </c>
      <c r="B131" s="35" t="s">
        <v>937</v>
      </c>
      <c r="C131" s="35" t="s">
        <v>941</v>
      </c>
      <c r="D131" s="36" t="s">
        <v>935</v>
      </c>
      <c r="E131" t="str">
        <f>VLOOKUP(A131,'BD Parametros'!B:M,12,FALSE)</f>
        <v>RE-182</v>
      </c>
    </row>
    <row r="132" spans="1:5" x14ac:dyDescent="0.3">
      <c r="A132" s="34" t="s">
        <v>461</v>
      </c>
      <c r="B132" s="35" t="s">
        <v>943</v>
      </c>
      <c r="C132" s="35" t="s">
        <v>944</v>
      </c>
      <c r="D132" s="36" t="s">
        <v>940</v>
      </c>
      <c r="E132" t="str">
        <f>VLOOKUP(A132,'BD Parametros'!B:M,12,FALSE)</f>
        <v>RE-183</v>
      </c>
    </row>
    <row r="133" spans="1:5" x14ac:dyDescent="0.3">
      <c r="A133" s="34" t="s">
        <v>464</v>
      </c>
      <c r="B133" s="35" t="s">
        <v>937</v>
      </c>
      <c r="C133" s="35" t="s">
        <v>941</v>
      </c>
      <c r="D133" s="36" t="s">
        <v>935</v>
      </c>
      <c r="E133" t="str">
        <f>VLOOKUP(A133,'BD Parametros'!B:M,12,FALSE)</f>
        <v>RE-184</v>
      </c>
    </row>
    <row r="134" spans="1:5" x14ac:dyDescent="0.3">
      <c r="A134" s="37" t="s">
        <v>467</v>
      </c>
      <c r="B134" s="38" t="s">
        <v>937</v>
      </c>
      <c r="C134" s="38" t="s">
        <v>941</v>
      </c>
      <c r="D134" s="39" t="s">
        <v>935</v>
      </c>
      <c r="E134" t="str">
        <f>VLOOKUP(A134,'BD Parametros'!B:M,12,FALSE)</f>
        <v>RE-185</v>
      </c>
    </row>
    <row r="135" spans="1:5" x14ac:dyDescent="0.3">
      <c r="A135" s="34" t="s">
        <v>470</v>
      </c>
      <c r="B135" s="35" t="s">
        <v>942</v>
      </c>
      <c r="C135" s="35" t="s">
        <v>944</v>
      </c>
      <c r="D135" s="36" t="s">
        <v>940</v>
      </c>
      <c r="E135" t="str">
        <f>VLOOKUP(A135,'BD Parametros'!B:M,12,FALSE)</f>
        <v>RE-186</v>
      </c>
    </row>
    <row r="136" spans="1:5" x14ac:dyDescent="0.3">
      <c r="A136" s="34" t="s">
        <v>473</v>
      </c>
      <c r="B136" s="35" t="s">
        <v>945</v>
      </c>
      <c r="C136" s="35" t="s">
        <v>931</v>
      </c>
      <c r="D136" s="36" t="s">
        <v>932</v>
      </c>
      <c r="E136" t="str">
        <f>VLOOKUP(A136,'BD Parametros'!B:M,12,FALSE)</f>
        <v>RE-187</v>
      </c>
    </row>
    <row r="137" spans="1:5" x14ac:dyDescent="0.3">
      <c r="A137" s="34" t="s">
        <v>476</v>
      </c>
      <c r="B137" s="35" t="s">
        <v>938</v>
      </c>
      <c r="C137" s="35" t="s">
        <v>939</v>
      </c>
      <c r="D137" s="36" t="s">
        <v>940</v>
      </c>
      <c r="E137" t="str">
        <f>VLOOKUP(A137,'BD Parametros'!B:M,12,FALSE)</f>
        <v>RE-188</v>
      </c>
    </row>
    <row r="138" spans="1:5" x14ac:dyDescent="0.3">
      <c r="A138" s="34" t="s">
        <v>479</v>
      </c>
      <c r="B138" s="35" t="s">
        <v>936</v>
      </c>
      <c r="C138" s="35" t="s">
        <v>931</v>
      </c>
      <c r="D138" s="36" t="s">
        <v>932</v>
      </c>
      <c r="E138" t="str">
        <f>VLOOKUP(A138,'BD Parametros'!B:M,12,FALSE)</f>
        <v>RE-189</v>
      </c>
    </row>
    <row r="139" spans="1:5" x14ac:dyDescent="0.3">
      <c r="A139" s="34" t="s">
        <v>482</v>
      </c>
      <c r="B139" s="35" t="s">
        <v>937</v>
      </c>
      <c r="C139" s="35" t="s">
        <v>941</v>
      </c>
      <c r="D139" s="36" t="s">
        <v>935</v>
      </c>
      <c r="E139" t="str">
        <f>VLOOKUP(A139,'BD Parametros'!B:M,12,FALSE)</f>
        <v>RE-190</v>
      </c>
    </row>
    <row r="140" spans="1:5" x14ac:dyDescent="0.3">
      <c r="A140" s="34" t="s">
        <v>485</v>
      </c>
      <c r="B140" s="35" t="s">
        <v>938</v>
      </c>
      <c r="C140" s="35" t="s">
        <v>939</v>
      </c>
      <c r="D140" s="36" t="s">
        <v>940</v>
      </c>
      <c r="E140" t="str">
        <f>VLOOKUP(A140,'BD Parametros'!B:M,12,FALSE)</f>
        <v>RE-191</v>
      </c>
    </row>
    <row r="141" spans="1:5" x14ac:dyDescent="0.3">
      <c r="A141" s="34" t="s">
        <v>488</v>
      </c>
      <c r="B141" s="35" t="s">
        <v>948</v>
      </c>
      <c r="C141" s="35" t="s">
        <v>931</v>
      </c>
      <c r="D141" s="36" t="s">
        <v>932</v>
      </c>
      <c r="E141" t="str">
        <f>VLOOKUP(A141,'BD Parametros'!B:M,12,FALSE)</f>
        <v>RE-101</v>
      </c>
    </row>
    <row r="142" spans="1:5" x14ac:dyDescent="0.3">
      <c r="A142" s="34" t="s">
        <v>491</v>
      </c>
      <c r="B142" s="35" t="s">
        <v>936</v>
      </c>
      <c r="C142" s="35" t="s">
        <v>931</v>
      </c>
      <c r="D142" s="36" t="s">
        <v>932</v>
      </c>
      <c r="E142" t="str">
        <f>VLOOKUP(A142,'BD Parametros'!B:M,12,FALSE)</f>
        <v>RE-193</v>
      </c>
    </row>
    <row r="143" spans="1:5" x14ac:dyDescent="0.3">
      <c r="A143" s="34" t="s">
        <v>494</v>
      </c>
      <c r="B143" s="35" t="s">
        <v>937</v>
      </c>
      <c r="C143" s="35" t="s">
        <v>941</v>
      </c>
      <c r="D143" s="36" t="s">
        <v>935</v>
      </c>
      <c r="E143" t="str">
        <f>VLOOKUP(A143,'BD Parametros'!B:M,12,FALSE)</f>
        <v>RE-024</v>
      </c>
    </row>
    <row r="144" spans="1:5" x14ac:dyDescent="0.3">
      <c r="A144" s="34" t="s">
        <v>497</v>
      </c>
      <c r="B144" s="35" t="s">
        <v>945</v>
      </c>
      <c r="C144" s="35" t="s">
        <v>931</v>
      </c>
      <c r="D144" s="36" t="s">
        <v>932</v>
      </c>
      <c r="E144" t="str">
        <f>VLOOKUP(A144,'BD Parametros'!B:M,12,FALSE)</f>
        <v>RE-097</v>
      </c>
    </row>
    <row r="145" spans="1:5" x14ac:dyDescent="0.3">
      <c r="A145" s="34" t="s">
        <v>500</v>
      </c>
      <c r="B145" s="35" t="s">
        <v>936</v>
      </c>
      <c r="C145" s="35" t="s">
        <v>931</v>
      </c>
      <c r="D145" s="36" t="s">
        <v>932</v>
      </c>
      <c r="E145" t="str">
        <f>VLOOKUP(A145,'BD Parametros'!B:M,12,FALSE)</f>
        <v>RE-084</v>
      </c>
    </row>
    <row r="146" spans="1:5" x14ac:dyDescent="0.3">
      <c r="A146" s="37" t="s">
        <v>503</v>
      </c>
      <c r="B146" s="38" t="s">
        <v>946</v>
      </c>
      <c r="C146" s="38" t="s">
        <v>944</v>
      </c>
      <c r="D146" s="39" t="s">
        <v>940</v>
      </c>
      <c r="E146" t="str">
        <f>VLOOKUP(A146,'BD Parametros'!B:M,12,FALSE)</f>
        <v>RE-035</v>
      </c>
    </row>
    <row r="147" spans="1:5" x14ac:dyDescent="0.3">
      <c r="A147" s="37" t="s">
        <v>506</v>
      </c>
      <c r="B147" s="38" t="s">
        <v>937</v>
      </c>
      <c r="C147" s="38" t="s">
        <v>941</v>
      </c>
      <c r="D147" s="39" t="s">
        <v>935</v>
      </c>
      <c r="E147" t="str">
        <f>VLOOKUP(A147,'BD Parametros'!B:M,12,FALSE)</f>
        <v>RE-096</v>
      </c>
    </row>
    <row r="148" spans="1:5" x14ac:dyDescent="0.3">
      <c r="A148" s="34" t="s">
        <v>509</v>
      </c>
      <c r="B148" s="35" t="s">
        <v>945</v>
      </c>
      <c r="C148" s="35" t="s">
        <v>931</v>
      </c>
      <c r="D148" s="36" t="s">
        <v>932</v>
      </c>
      <c r="E148" t="str">
        <f>VLOOKUP(A148,'BD Parametros'!B:M,12,FALSE)</f>
        <v>RE-199</v>
      </c>
    </row>
    <row r="149" spans="1:5" x14ac:dyDescent="0.3">
      <c r="A149" s="37" t="s">
        <v>512</v>
      </c>
      <c r="B149" s="38" t="s">
        <v>933</v>
      </c>
      <c r="C149" s="38" t="s">
        <v>934</v>
      </c>
      <c r="D149" s="39" t="s">
        <v>935</v>
      </c>
      <c r="E149" t="str">
        <f>VLOOKUP(A149,'BD Parametros'!B:M,12,FALSE)</f>
        <v>RE-200</v>
      </c>
    </row>
    <row r="150" spans="1:5" x14ac:dyDescent="0.3">
      <c r="A150" s="34" t="s">
        <v>517</v>
      </c>
      <c r="B150" s="35" t="s">
        <v>949</v>
      </c>
      <c r="C150" s="35" t="s">
        <v>939</v>
      </c>
      <c r="D150" s="36" t="s">
        <v>940</v>
      </c>
      <c r="E150" t="str">
        <f>VLOOKUP(A150,'BD Parametros'!B:M,12,FALSE)</f>
        <v>RE-201</v>
      </c>
    </row>
    <row r="151" spans="1:5" x14ac:dyDescent="0.3">
      <c r="A151" s="34" t="s">
        <v>520</v>
      </c>
      <c r="B151" s="35" t="s">
        <v>949</v>
      </c>
      <c r="C151" s="35" t="s">
        <v>939</v>
      </c>
      <c r="D151" s="36" t="s">
        <v>940</v>
      </c>
      <c r="E151" t="str">
        <f>VLOOKUP(A151,'BD Parametros'!B:M,12,FALSE)</f>
        <v>RE-202</v>
      </c>
    </row>
    <row r="152" spans="1:5" x14ac:dyDescent="0.3">
      <c r="A152" s="34" t="s">
        <v>523</v>
      </c>
      <c r="B152" s="35" t="s">
        <v>949</v>
      </c>
      <c r="C152" s="35" t="s">
        <v>939</v>
      </c>
      <c r="D152" s="36" t="s">
        <v>940</v>
      </c>
      <c r="E152" t="str">
        <f>VLOOKUP(A152,'BD Parametros'!B:M,12,FALSE)</f>
        <v>RE-203</v>
      </c>
    </row>
    <row r="153" spans="1:5" x14ac:dyDescent="0.3">
      <c r="A153" s="34" t="s">
        <v>526</v>
      </c>
      <c r="B153" s="35" t="s">
        <v>938</v>
      </c>
      <c r="C153" s="35" t="s">
        <v>939</v>
      </c>
      <c r="D153" s="36" t="s">
        <v>940</v>
      </c>
      <c r="E153" t="str">
        <f>VLOOKUP(A153,'BD Parametros'!B:M,12,FALSE)</f>
        <v>RE-204</v>
      </c>
    </row>
    <row r="154" spans="1:5" x14ac:dyDescent="0.3">
      <c r="A154" s="34" t="s">
        <v>529</v>
      </c>
      <c r="B154" s="35" t="s">
        <v>938</v>
      </c>
      <c r="C154" s="35" t="s">
        <v>939</v>
      </c>
      <c r="D154" s="36" t="s">
        <v>940</v>
      </c>
      <c r="E154" t="str">
        <f>VLOOKUP(A154,'BD Parametros'!B:M,12,FALSE)</f>
        <v>RE-205</v>
      </c>
    </row>
    <row r="155" spans="1:5" x14ac:dyDescent="0.3">
      <c r="A155" s="37" t="s">
        <v>532</v>
      </c>
      <c r="B155" s="38" t="s">
        <v>938</v>
      </c>
      <c r="C155" s="38" t="s">
        <v>939</v>
      </c>
      <c r="D155" s="39" t="s">
        <v>940</v>
      </c>
      <c r="E155" t="str">
        <f>VLOOKUP(A155,'BD Parametros'!B:M,12,FALSE)</f>
        <v>RE-206</v>
      </c>
    </row>
    <row r="156" spans="1:5" x14ac:dyDescent="0.3">
      <c r="A156" s="34" t="s">
        <v>535</v>
      </c>
      <c r="B156" s="35" t="s">
        <v>933</v>
      </c>
      <c r="C156" s="35" t="s">
        <v>934</v>
      </c>
      <c r="D156" s="36" t="s">
        <v>935</v>
      </c>
      <c r="E156" t="str">
        <f>VLOOKUP(A156,'BD Parametros'!B:M,12,FALSE)</f>
        <v>RE-207</v>
      </c>
    </row>
    <row r="157" spans="1:5" x14ac:dyDescent="0.3">
      <c r="A157" s="37" t="s">
        <v>538</v>
      </c>
      <c r="B157" s="38" t="s">
        <v>949</v>
      </c>
      <c r="C157" s="38" t="s">
        <v>939</v>
      </c>
      <c r="D157" s="39" t="s">
        <v>940</v>
      </c>
      <c r="E157" t="str">
        <f>VLOOKUP(A157,'BD Parametros'!B:M,12,FALSE)</f>
        <v>RE-208</v>
      </c>
    </row>
    <row r="158" spans="1:5" x14ac:dyDescent="0.3">
      <c r="A158" s="37" t="s">
        <v>541</v>
      </c>
      <c r="B158" s="38" t="s">
        <v>949</v>
      </c>
      <c r="C158" s="38" t="s">
        <v>939</v>
      </c>
      <c r="D158" s="39" t="s">
        <v>940</v>
      </c>
      <c r="E158" t="str">
        <f>VLOOKUP(A158,'BD Parametros'!B:M,12,FALSE)</f>
        <v>RE-209</v>
      </c>
    </row>
    <row r="159" spans="1:5" x14ac:dyDescent="0.3">
      <c r="A159" s="37" t="s">
        <v>544</v>
      </c>
      <c r="B159" s="38" t="s">
        <v>949</v>
      </c>
      <c r="C159" s="38" t="s">
        <v>939</v>
      </c>
      <c r="D159" s="39" t="s">
        <v>940</v>
      </c>
      <c r="E159" t="str">
        <f>VLOOKUP(A159,'BD Parametros'!B:M,12,FALSE)</f>
        <v>RE-210</v>
      </c>
    </row>
    <row r="160" spans="1:5" x14ac:dyDescent="0.3">
      <c r="A160" s="34" t="s">
        <v>547</v>
      </c>
      <c r="B160" s="35" t="s">
        <v>949</v>
      </c>
      <c r="C160" s="35" t="s">
        <v>939</v>
      </c>
      <c r="D160" s="36" t="s">
        <v>940</v>
      </c>
      <c r="E160" t="str">
        <f>VLOOKUP(A160,'BD Parametros'!B:M,12,FALSE)</f>
        <v>RE-211</v>
      </c>
    </row>
    <row r="161" spans="1:5" x14ac:dyDescent="0.3">
      <c r="A161" s="34" t="s">
        <v>550</v>
      </c>
      <c r="B161" s="35" t="s">
        <v>938</v>
      </c>
      <c r="C161" s="35" t="s">
        <v>939</v>
      </c>
      <c r="D161" s="36" t="s">
        <v>940</v>
      </c>
      <c r="E161" t="str">
        <f>VLOOKUP(A161,'BD Parametros'!B:M,12,FALSE)</f>
        <v>RE-212</v>
      </c>
    </row>
    <row r="162" spans="1:5" x14ac:dyDescent="0.3">
      <c r="A162" s="34" t="s">
        <v>553</v>
      </c>
      <c r="B162" s="35" t="s">
        <v>949</v>
      </c>
      <c r="C162" s="35" t="s">
        <v>939</v>
      </c>
      <c r="D162" s="36" t="s">
        <v>940</v>
      </c>
      <c r="E162" t="str">
        <f>VLOOKUP(A162,'BD Parametros'!B:M,12,FALSE)</f>
        <v>RE-213</v>
      </c>
    </row>
    <row r="163" spans="1:5" x14ac:dyDescent="0.3">
      <c r="A163" s="37" t="s">
        <v>556</v>
      </c>
      <c r="B163" s="38" t="s">
        <v>938</v>
      </c>
      <c r="C163" s="38" t="s">
        <v>939</v>
      </c>
      <c r="D163" s="39" t="s">
        <v>940</v>
      </c>
      <c r="E163" t="str">
        <f>VLOOKUP(A163,'BD Parametros'!B:M,12,FALSE)</f>
        <v>RE-214</v>
      </c>
    </row>
    <row r="164" spans="1:5" x14ac:dyDescent="0.3">
      <c r="A164" s="34" t="s">
        <v>559</v>
      </c>
      <c r="B164" s="35" t="s">
        <v>949</v>
      </c>
      <c r="C164" s="35" t="s">
        <v>939</v>
      </c>
      <c r="D164" s="36" t="s">
        <v>940</v>
      </c>
      <c r="E164" t="str">
        <f>VLOOKUP(A164,'BD Parametros'!B:M,12,FALSE)</f>
        <v>RE-215</v>
      </c>
    </row>
    <row r="165" spans="1:5" x14ac:dyDescent="0.3">
      <c r="A165" s="37" t="s">
        <v>562</v>
      </c>
      <c r="B165" s="38" t="s">
        <v>949</v>
      </c>
      <c r="C165" s="38" t="s">
        <v>939</v>
      </c>
      <c r="D165" s="39" t="s">
        <v>940</v>
      </c>
      <c r="E165" t="str">
        <f>VLOOKUP(A165,'BD Parametros'!B:M,12,FALSE)</f>
        <v>RE-216</v>
      </c>
    </row>
    <row r="166" spans="1:5" x14ac:dyDescent="0.3">
      <c r="A166" s="37" t="s">
        <v>565</v>
      </c>
      <c r="B166" s="38" t="s">
        <v>933</v>
      </c>
      <c r="C166" s="38" t="s">
        <v>934</v>
      </c>
      <c r="D166" s="39" t="s">
        <v>935</v>
      </c>
      <c r="E166" t="str">
        <f>VLOOKUP(A166,'BD Parametros'!B:M,12,FALSE)</f>
        <v>RE-217</v>
      </c>
    </row>
    <row r="167" spans="1:5" x14ac:dyDescent="0.3">
      <c r="A167" s="34" t="s">
        <v>568</v>
      </c>
      <c r="B167" s="35" t="s">
        <v>949</v>
      </c>
      <c r="C167" s="35" t="s">
        <v>939</v>
      </c>
      <c r="D167" s="36" t="s">
        <v>940</v>
      </c>
      <c r="E167" t="str">
        <f>VLOOKUP(A167,'BD Parametros'!B:M,12,FALSE)</f>
        <v>RE-218</v>
      </c>
    </row>
    <row r="168" spans="1:5" x14ac:dyDescent="0.3">
      <c r="A168" s="34" t="s">
        <v>571</v>
      </c>
      <c r="B168" s="35" t="s">
        <v>949</v>
      </c>
      <c r="C168" s="35" t="s">
        <v>939</v>
      </c>
      <c r="D168" s="36" t="s">
        <v>940</v>
      </c>
      <c r="E168" t="str">
        <f>VLOOKUP(A168,'BD Parametros'!B:M,12,FALSE)</f>
        <v>RE-219</v>
      </c>
    </row>
    <row r="169" spans="1:5" x14ac:dyDescent="0.3">
      <c r="A169" s="34" t="s">
        <v>574</v>
      </c>
      <c r="B169" s="35" t="s">
        <v>949</v>
      </c>
      <c r="C169" s="35" t="s">
        <v>939</v>
      </c>
      <c r="D169" s="36" t="s">
        <v>940</v>
      </c>
      <c r="E169" t="str">
        <f>VLOOKUP(A169,'BD Parametros'!B:M,12,FALSE)</f>
        <v>RE-220</v>
      </c>
    </row>
    <row r="170" spans="1:5" x14ac:dyDescent="0.3">
      <c r="A170" s="34" t="s">
        <v>577</v>
      </c>
      <c r="B170" s="35" t="s">
        <v>938</v>
      </c>
      <c r="C170" s="35" t="s">
        <v>939</v>
      </c>
      <c r="D170" s="36" t="s">
        <v>940</v>
      </c>
      <c r="E170" t="str">
        <f>VLOOKUP(A170,'BD Parametros'!B:M,12,FALSE)</f>
        <v>RE-221</v>
      </c>
    </row>
    <row r="171" spans="1:5" x14ac:dyDescent="0.3">
      <c r="A171" s="34" t="s">
        <v>580</v>
      </c>
      <c r="B171" s="35" t="s">
        <v>949</v>
      </c>
      <c r="C171" s="35" t="s">
        <v>939</v>
      </c>
      <c r="D171" s="36" t="s">
        <v>940</v>
      </c>
      <c r="E171" t="str">
        <f>VLOOKUP(A171,'BD Parametros'!B:M,12,FALSE)</f>
        <v>RE-222</v>
      </c>
    </row>
    <row r="172" spans="1:5" x14ac:dyDescent="0.3">
      <c r="A172" s="34" t="s">
        <v>583</v>
      </c>
      <c r="B172" s="35" t="s">
        <v>938</v>
      </c>
      <c r="C172" s="35" t="s">
        <v>939</v>
      </c>
      <c r="D172" s="36" t="s">
        <v>940</v>
      </c>
      <c r="E172" t="str">
        <f>VLOOKUP(A172,'BD Parametros'!B:M,12,FALSE)</f>
        <v>RE-223</v>
      </c>
    </row>
    <row r="173" spans="1:5" x14ac:dyDescent="0.3">
      <c r="A173" s="37" t="s">
        <v>586</v>
      </c>
      <c r="B173" s="38" t="s">
        <v>949</v>
      </c>
      <c r="C173" s="38" t="s">
        <v>939</v>
      </c>
      <c r="D173" s="39" t="s">
        <v>940</v>
      </c>
      <c r="E173" t="str">
        <f>VLOOKUP(A173,'BD Parametros'!B:M,12,FALSE)</f>
        <v>RE-224</v>
      </c>
    </row>
    <row r="174" spans="1:5" x14ac:dyDescent="0.3">
      <c r="A174" s="34" t="s">
        <v>589</v>
      </c>
      <c r="B174" s="35" t="s">
        <v>949</v>
      </c>
      <c r="C174" s="35" t="s">
        <v>939</v>
      </c>
      <c r="D174" s="36" t="s">
        <v>940</v>
      </c>
      <c r="E174" t="str">
        <f>VLOOKUP(A174,'BD Parametros'!B:M,12,FALSE)</f>
        <v>RE-225</v>
      </c>
    </row>
    <row r="175" spans="1:5" x14ac:dyDescent="0.3">
      <c r="A175" s="37" t="s">
        <v>592</v>
      </c>
      <c r="B175" s="38" t="s">
        <v>949</v>
      </c>
      <c r="C175" s="38" t="s">
        <v>939</v>
      </c>
      <c r="D175" s="39" t="s">
        <v>940</v>
      </c>
      <c r="E175" t="str">
        <f>VLOOKUP(A175,'BD Parametros'!B:M,12,FALSE)</f>
        <v>RE-226</v>
      </c>
    </row>
    <row r="176" spans="1:5" x14ac:dyDescent="0.3">
      <c r="A176" s="34" t="s">
        <v>595</v>
      </c>
      <c r="B176" s="35" t="s">
        <v>950</v>
      </c>
      <c r="C176" s="35" t="s">
        <v>931</v>
      </c>
      <c r="D176" s="36" t="s">
        <v>932</v>
      </c>
      <c r="E176" t="str">
        <f>VLOOKUP(A176,'BD Parametros'!B:M,12,FALSE)</f>
        <v>RE-227</v>
      </c>
    </row>
    <row r="177" spans="1:5" x14ac:dyDescent="0.3">
      <c r="A177" s="34" t="s">
        <v>598</v>
      </c>
      <c r="B177" s="35" t="s">
        <v>949</v>
      </c>
      <c r="C177" s="35" t="s">
        <v>939</v>
      </c>
      <c r="D177" s="36" t="s">
        <v>940</v>
      </c>
      <c r="E177" t="str">
        <f>VLOOKUP(A177,'BD Parametros'!B:M,12,FALSE)</f>
        <v>RE-228</v>
      </c>
    </row>
    <row r="178" spans="1:5" x14ac:dyDescent="0.3">
      <c r="A178" s="34" t="s">
        <v>601</v>
      </c>
      <c r="B178" s="35" t="s">
        <v>950</v>
      </c>
      <c r="C178" s="35" t="s">
        <v>931</v>
      </c>
      <c r="D178" s="36" t="s">
        <v>932</v>
      </c>
      <c r="E178" t="str">
        <f>VLOOKUP(A178,'BD Parametros'!B:M,12,FALSE)</f>
        <v>RE-229</v>
      </c>
    </row>
    <row r="179" spans="1:5" x14ac:dyDescent="0.3">
      <c r="A179" s="34" t="s">
        <v>604</v>
      </c>
      <c r="B179" s="35" t="s">
        <v>949</v>
      </c>
      <c r="C179" s="35" t="s">
        <v>939</v>
      </c>
      <c r="D179" s="36" t="s">
        <v>940</v>
      </c>
      <c r="E179" t="str">
        <f>VLOOKUP(A179,'BD Parametros'!B:M,12,FALSE)</f>
        <v>RE-230</v>
      </c>
    </row>
    <row r="180" spans="1:5" x14ac:dyDescent="0.3">
      <c r="A180" s="37" t="s">
        <v>607</v>
      </c>
      <c r="B180" s="38" t="s">
        <v>949</v>
      </c>
      <c r="C180" s="38" t="s">
        <v>939</v>
      </c>
      <c r="D180" s="39" t="s">
        <v>940</v>
      </c>
      <c r="E180" t="str">
        <f>VLOOKUP(A180,'BD Parametros'!B:M,12,FALSE)</f>
        <v>RE-231</v>
      </c>
    </row>
    <row r="181" spans="1:5" x14ac:dyDescent="0.3">
      <c r="A181" s="34" t="s">
        <v>610</v>
      </c>
      <c r="B181" s="35" t="s">
        <v>938</v>
      </c>
      <c r="C181" s="35" t="s">
        <v>939</v>
      </c>
      <c r="D181" s="36" t="s">
        <v>940</v>
      </c>
      <c r="E181" t="str">
        <f>VLOOKUP(A181,'BD Parametros'!B:M,12,FALSE)</f>
        <v>RE-232</v>
      </c>
    </row>
    <row r="182" spans="1:5" x14ac:dyDescent="0.3">
      <c r="A182" s="34" t="s">
        <v>613</v>
      </c>
      <c r="B182" s="35" t="s">
        <v>949</v>
      </c>
      <c r="C182" s="35" t="s">
        <v>939</v>
      </c>
      <c r="D182" s="36" t="s">
        <v>940</v>
      </c>
      <c r="E182" t="str">
        <f>VLOOKUP(A182,'BD Parametros'!B:M,12,FALSE)</f>
        <v>RE-233</v>
      </c>
    </row>
    <row r="183" spans="1:5" x14ac:dyDescent="0.3">
      <c r="A183" s="34" t="s">
        <v>616</v>
      </c>
      <c r="B183" s="35" t="s">
        <v>938</v>
      </c>
      <c r="C183" s="35" t="s">
        <v>939</v>
      </c>
      <c r="D183" s="36" t="s">
        <v>940</v>
      </c>
      <c r="E183" t="str">
        <f>VLOOKUP(A183,'BD Parametros'!B:M,12,FALSE)</f>
        <v>RE-234</v>
      </c>
    </row>
    <row r="184" spans="1:5" x14ac:dyDescent="0.3">
      <c r="A184" s="34" t="s">
        <v>619</v>
      </c>
      <c r="B184" s="35" t="s">
        <v>938</v>
      </c>
      <c r="C184" s="35" t="s">
        <v>939</v>
      </c>
      <c r="D184" s="36" t="s">
        <v>940</v>
      </c>
      <c r="E184" t="str">
        <f>VLOOKUP(A184,'BD Parametros'!B:M,12,FALSE)</f>
        <v>RE-235</v>
      </c>
    </row>
    <row r="185" spans="1:5" x14ac:dyDescent="0.3">
      <c r="A185" s="37" t="s">
        <v>622</v>
      </c>
      <c r="B185" s="38" t="s">
        <v>938</v>
      </c>
      <c r="C185" s="38" t="s">
        <v>939</v>
      </c>
      <c r="D185" s="39" t="s">
        <v>940</v>
      </c>
      <c r="E185" t="str">
        <f>VLOOKUP(A185,'BD Parametros'!B:M,12,FALSE)</f>
        <v>RE-236</v>
      </c>
    </row>
    <row r="186" spans="1:5" x14ac:dyDescent="0.3">
      <c r="A186" s="37" t="s">
        <v>625</v>
      </c>
      <c r="B186" s="38" t="s">
        <v>938</v>
      </c>
      <c r="C186" s="38" t="s">
        <v>939</v>
      </c>
      <c r="D186" s="39" t="s">
        <v>940</v>
      </c>
      <c r="E186" t="str">
        <f>VLOOKUP(A186,'BD Parametros'!B:M,12,FALSE)</f>
        <v>RE-237</v>
      </c>
    </row>
    <row r="187" spans="1:5" x14ac:dyDescent="0.3">
      <c r="A187" s="34" t="s">
        <v>628</v>
      </c>
      <c r="B187" s="35" t="s">
        <v>949</v>
      </c>
      <c r="C187" s="35" t="s">
        <v>939</v>
      </c>
      <c r="D187" s="36" t="s">
        <v>940</v>
      </c>
      <c r="E187" t="str">
        <f>VLOOKUP(A187,'BD Parametros'!B:M,12,FALSE)</f>
        <v>RE-238</v>
      </c>
    </row>
    <row r="188" spans="1:5" x14ac:dyDescent="0.3">
      <c r="A188" s="34" t="s">
        <v>631</v>
      </c>
      <c r="B188" s="35" t="s">
        <v>938</v>
      </c>
      <c r="C188" s="35" t="s">
        <v>939</v>
      </c>
      <c r="D188" s="36" t="s">
        <v>940</v>
      </c>
      <c r="E188" t="str">
        <f>VLOOKUP(A188,'BD Parametros'!B:M,12,FALSE)</f>
        <v>RE-239</v>
      </c>
    </row>
    <row r="189" spans="1:5" x14ac:dyDescent="0.3">
      <c r="A189" s="34" t="s">
        <v>634</v>
      </c>
      <c r="B189" s="35" t="s">
        <v>945</v>
      </c>
      <c r="C189" s="35" t="s">
        <v>931</v>
      </c>
      <c r="D189" s="36" t="s">
        <v>932</v>
      </c>
      <c r="E189" t="str">
        <f>VLOOKUP(A189,'BD Parametros'!B:M,12,FALSE)</f>
        <v>RE-240</v>
      </c>
    </row>
    <row r="190" spans="1:5" x14ac:dyDescent="0.3">
      <c r="A190" s="34" t="s">
        <v>637</v>
      </c>
      <c r="B190" s="35" t="s">
        <v>948</v>
      </c>
      <c r="C190" s="35" t="s">
        <v>931</v>
      </c>
      <c r="D190" s="36" t="s">
        <v>932</v>
      </c>
      <c r="E190" t="str">
        <f>VLOOKUP(A190,'BD Parametros'!B:M,12,FALSE)</f>
        <v>RE-241</v>
      </c>
    </row>
    <row r="191" spans="1:5" x14ac:dyDescent="0.3">
      <c r="A191" s="34" t="s">
        <v>640</v>
      </c>
      <c r="B191" s="35" t="s">
        <v>937</v>
      </c>
      <c r="C191" s="35" t="s">
        <v>941</v>
      </c>
      <c r="D191" s="36" t="s">
        <v>935</v>
      </c>
      <c r="E191" t="str">
        <f>VLOOKUP(A191,'BD Parametros'!B:M,12,FALSE)</f>
        <v>RE-105</v>
      </c>
    </row>
    <row r="192" spans="1:5" x14ac:dyDescent="0.3">
      <c r="A192" s="34" t="s">
        <v>643</v>
      </c>
      <c r="B192" s="35" t="s">
        <v>930</v>
      </c>
      <c r="C192" s="35" t="s">
        <v>931</v>
      </c>
      <c r="D192" s="36" t="s">
        <v>932</v>
      </c>
      <c r="E192" t="str">
        <f>VLOOKUP(A192,'BD Parametros'!B:M,12,FALSE)</f>
        <v>RE-243</v>
      </c>
    </row>
    <row r="193" spans="1:5" x14ac:dyDescent="0.3">
      <c r="A193" s="34" t="s">
        <v>646</v>
      </c>
      <c r="B193" s="35" t="s">
        <v>930</v>
      </c>
      <c r="C193" s="35" t="s">
        <v>931</v>
      </c>
      <c r="D193" s="36" t="s">
        <v>932</v>
      </c>
      <c r="E193" t="str">
        <f>VLOOKUP(A193,'BD Parametros'!B:M,12,FALSE)</f>
        <v>RE-102</v>
      </c>
    </row>
    <row r="194" spans="1:5" x14ac:dyDescent="0.3">
      <c r="A194" s="37" t="s">
        <v>649</v>
      </c>
      <c r="B194" s="38" t="s">
        <v>946</v>
      </c>
      <c r="C194" s="38" t="s">
        <v>944</v>
      </c>
      <c r="D194" s="39" t="s">
        <v>940</v>
      </c>
      <c r="E194" t="str">
        <f>VLOOKUP(A194,'BD Parametros'!B:M,12,FALSE)</f>
        <v>RE-245</v>
      </c>
    </row>
    <row r="195" spans="1:5" x14ac:dyDescent="0.3">
      <c r="A195" s="34" t="s">
        <v>652</v>
      </c>
      <c r="B195" s="35" t="s">
        <v>937</v>
      </c>
      <c r="C195" s="35" t="s">
        <v>941</v>
      </c>
      <c r="D195" s="36" t="s">
        <v>935</v>
      </c>
      <c r="E195" t="str">
        <f>VLOOKUP(A195,'BD Parametros'!B:M,12,FALSE)</f>
        <v>RE-246</v>
      </c>
    </row>
    <row r="196" spans="1:5" x14ac:dyDescent="0.3">
      <c r="A196" s="34" t="s">
        <v>655</v>
      </c>
      <c r="B196" s="35" t="s">
        <v>936</v>
      </c>
      <c r="C196" s="35" t="s">
        <v>931</v>
      </c>
      <c r="D196" s="36" t="s">
        <v>932</v>
      </c>
      <c r="E196" t="str">
        <f>VLOOKUP(A196,'BD Parametros'!B:M,12,FALSE)</f>
        <v>RE-247</v>
      </c>
    </row>
    <row r="197" spans="1:5" x14ac:dyDescent="0.3">
      <c r="A197" s="37" t="s">
        <v>658</v>
      </c>
      <c r="B197" s="38" t="s">
        <v>945</v>
      </c>
      <c r="C197" s="38" t="s">
        <v>931</v>
      </c>
      <c r="D197" s="39" t="s">
        <v>932</v>
      </c>
      <c r="E197" t="str">
        <f>VLOOKUP(A197,'BD Parametros'!B:M,12,FALSE)</f>
        <v>RE-248</v>
      </c>
    </row>
    <row r="198" spans="1:5" x14ac:dyDescent="0.3">
      <c r="A198" s="37" t="s">
        <v>661</v>
      </c>
      <c r="B198" s="38" t="s">
        <v>937</v>
      </c>
      <c r="C198" s="38" t="s">
        <v>941</v>
      </c>
      <c r="D198" s="39" t="s">
        <v>935</v>
      </c>
      <c r="E198" t="str">
        <f>VLOOKUP(A198,'BD Parametros'!B:M,12,FALSE)</f>
        <v>RE-249</v>
      </c>
    </row>
    <row r="199" spans="1:5" x14ac:dyDescent="0.3">
      <c r="A199" s="34" t="s">
        <v>664</v>
      </c>
      <c r="B199" s="35" t="s">
        <v>945</v>
      </c>
      <c r="C199" s="35" t="s">
        <v>931</v>
      </c>
      <c r="D199" s="36" t="s">
        <v>932</v>
      </c>
      <c r="E199" t="str">
        <f>VLOOKUP(A199,'BD Parametros'!B:M,12,FALSE)</f>
        <v>RE-023</v>
      </c>
    </row>
    <row r="200" spans="1:5" x14ac:dyDescent="0.3">
      <c r="A200" s="34" t="s">
        <v>667</v>
      </c>
      <c r="B200" s="35" t="s">
        <v>948</v>
      </c>
      <c r="C200" s="35" t="s">
        <v>931</v>
      </c>
      <c r="D200" s="36" t="s">
        <v>932</v>
      </c>
      <c r="E200" t="str">
        <f>VLOOKUP(A200,'BD Parametros'!B:M,12,FALSE)</f>
        <v>RE-251</v>
      </c>
    </row>
    <row r="201" spans="1:5" x14ac:dyDescent="0.3">
      <c r="A201" s="34" t="s">
        <v>670</v>
      </c>
      <c r="B201" s="35" t="s">
        <v>936</v>
      </c>
      <c r="C201" s="35" t="s">
        <v>931</v>
      </c>
      <c r="D201" s="36" t="s">
        <v>932</v>
      </c>
      <c r="E201" t="str">
        <f>VLOOKUP(A201,'BD Parametros'!B:M,12,FALSE)</f>
        <v>RE-089</v>
      </c>
    </row>
    <row r="202" spans="1:5" x14ac:dyDescent="0.3">
      <c r="A202" s="34" t="s">
        <v>673</v>
      </c>
      <c r="B202" s="35" t="s">
        <v>945</v>
      </c>
      <c r="C202" s="35" t="s">
        <v>931</v>
      </c>
      <c r="D202" s="36" t="s">
        <v>932</v>
      </c>
      <c r="E202" t="str">
        <f>VLOOKUP(A202,'BD Parametros'!B:M,12,FALSE)</f>
        <v>RE-253</v>
      </c>
    </row>
    <row r="203" spans="1:5" x14ac:dyDescent="0.3">
      <c r="A203" s="34" t="s">
        <v>676</v>
      </c>
      <c r="B203" s="35" t="s">
        <v>936</v>
      </c>
      <c r="C203" s="35" t="s">
        <v>931</v>
      </c>
      <c r="D203" s="36" t="s">
        <v>932</v>
      </c>
      <c r="E203" t="str">
        <f>VLOOKUP(A203,'BD Parametros'!B:M,12,FALSE)</f>
        <v>RE-254</v>
      </c>
    </row>
    <row r="204" spans="1:5" x14ac:dyDescent="0.3">
      <c r="A204" s="34" t="s">
        <v>679</v>
      </c>
      <c r="B204" s="35" t="s">
        <v>945</v>
      </c>
      <c r="C204" s="35" t="s">
        <v>931</v>
      </c>
      <c r="D204" s="36" t="s">
        <v>932</v>
      </c>
      <c r="E204" t="str">
        <f>VLOOKUP(A204,'BD Parametros'!B:M,12,FALSE)</f>
        <v>RE-255</v>
      </c>
    </row>
    <row r="205" spans="1:5" x14ac:dyDescent="0.3">
      <c r="A205" s="34" t="s">
        <v>682</v>
      </c>
      <c r="B205" s="35" t="s">
        <v>937</v>
      </c>
      <c r="C205" s="35" t="s">
        <v>934</v>
      </c>
      <c r="D205" s="36" t="s">
        <v>935</v>
      </c>
      <c r="E205" t="str">
        <f>VLOOKUP(A205,'BD Parametros'!B:M,12,FALSE)</f>
        <v>RE-256</v>
      </c>
    </row>
    <row r="206" spans="1:5" x14ac:dyDescent="0.3">
      <c r="A206" s="34" t="s">
        <v>685</v>
      </c>
      <c r="B206" s="35" t="s">
        <v>948</v>
      </c>
      <c r="C206" s="35" t="s">
        <v>931</v>
      </c>
      <c r="D206" s="36" t="s">
        <v>932</v>
      </c>
      <c r="E206" t="str">
        <f>VLOOKUP(A206,'BD Parametros'!B:M,12,FALSE)</f>
        <v>RE-257</v>
      </c>
    </row>
    <row r="207" spans="1:5" x14ac:dyDescent="0.3">
      <c r="A207" s="37" t="s">
        <v>688</v>
      </c>
      <c r="B207" s="38" t="s">
        <v>943</v>
      </c>
      <c r="C207" s="38" t="s">
        <v>944</v>
      </c>
      <c r="D207" s="39" t="s">
        <v>940</v>
      </c>
      <c r="E207" t="str">
        <f>VLOOKUP(A207,'BD Parametros'!B:M,12,FALSE)</f>
        <v>RE-258</v>
      </c>
    </row>
    <row r="208" spans="1:5" x14ac:dyDescent="0.3">
      <c r="A208" s="34" t="s">
        <v>691</v>
      </c>
      <c r="B208" s="35" t="s">
        <v>945</v>
      </c>
      <c r="C208" s="35" t="s">
        <v>931</v>
      </c>
      <c r="D208" s="36" t="s">
        <v>932</v>
      </c>
      <c r="E208" t="str">
        <f>VLOOKUP(A208,'BD Parametros'!B:M,12,FALSE)</f>
        <v>RE-051</v>
      </c>
    </row>
    <row r="209" spans="1:5" x14ac:dyDescent="0.3">
      <c r="A209" s="34" t="s">
        <v>694</v>
      </c>
      <c r="B209" s="35" t="s">
        <v>937</v>
      </c>
      <c r="C209" s="35" t="s">
        <v>941</v>
      </c>
      <c r="D209" s="36" t="s">
        <v>935</v>
      </c>
      <c r="E209" t="str">
        <f>VLOOKUP(A209,'BD Parametros'!B:M,12,FALSE)</f>
        <v>RE-260</v>
      </c>
    </row>
    <row r="210" spans="1:5" x14ac:dyDescent="0.3">
      <c r="A210" s="34" t="s">
        <v>697</v>
      </c>
      <c r="B210" s="35" t="s">
        <v>943</v>
      </c>
      <c r="C210" s="35" t="s">
        <v>944</v>
      </c>
      <c r="D210" s="36" t="s">
        <v>940</v>
      </c>
      <c r="E210" t="str">
        <f>VLOOKUP(A210,'BD Parametros'!B:M,12,FALSE)</f>
        <v>RE-261</v>
      </c>
    </row>
    <row r="211" spans="1:5" x14ac:dyDescent="0.3">
      <c r="A211" s="34" t="s">
        <v>700</v>
      </c>
      <c r="B211" s="35" t="s">
        <v>937</v>
      </c>
      <c r="C211" s="35" t="s">
        <v>934</v>
      </c>
      <c r="D211" s="36" t="s">
        <v>935</v>
      </c>
      <c r="E211" t="str">
        <f>VLOOKUP(A211,'BD Parametros'!B:M,12,FALSE)</f>
        <v>RE-262</v>
      </c>
    </row>
    <row r="212" spans="1:5" x14ac:dyDescent="0.3">
      <c r="A212" s="34" t="s">
        <v>703</v>
      </c>
      <c r="B212" s="35" t="s">
        <v>930</v>
      </c>
      <c r="C212" s="35" t="s">
        <v>931</v>
      </c>
      <c r="D212" s="36" t="s">
        <v>932</v>
      </c>
      <c r="E212" t="str">
        <f>VLOOKUP(A212,'BD Parametros'!B:M,12,FALSE)</f>
        <v>RE-263</v>
      </c>
    </row>
    <row r="213" spans="1:5" x14ac:dyDescent="0.3">
      <c r="A213" s="34" t="s">
        <v>706</v>
      </c>
      <c r="B213" s="35" t="s">
        <v>936</v>
      </c>
      <c r="C213" s="35" t="s">
        <v>931</v>
      </c>
      <c r="D213" s="36" t="s">
        <v>932</v>
      </c>
      <c r="E213" t="str">
        <f>VLOOKUP(A213,'BD Parametros'!B:M,12,FALSE)</f>
        <v>RE-264</v>
      </c>
    </row>
    <row r="214" spans="1:5" x14ac:dyDescent="0.3">
      <c r="A214" s="34" t="s">
        <v>709</v>
      </c>
      <c r="B214" s="35" t="s">
        <v>936</v>
      </c>
      <c r="C214" s="35" t="s">
        <v>931</v>
      </c>
      <c r="D214" s="36" t="s">
        <v>932</v>
      </c>
      <c r="E214" t="str">
        <f>VLOOKUP(A214,'BD Parametros'!B:M,12,FALSE)</f>
        <v>RE-022</v>
      </c>
    </row>
    <row r="215" spans="1:5" x14ac:dyDescent="0.3">
      <c r="A215" s="34" t="s">
        <v>712</v>
      </c>
      <c r="B215" s="35" t="s">
        <v>937</v>
      </c>
      <c r="C215" s="35" t="s">
        <v>934</v>
      </c>
      <c r="D215" s="36" t="s">
        <v>935</v>
      </c>
      <c r="E215" t="str">
        <f>VLOOKUP(A215,'BD Parametros'!B:M,12,FALSE)</f>
        <v>RE-266</v>
      </c>
    </row>
    <row r="216" spans="1:5" x14ac:dyDescent="0.3">
      <c r="A216" s="37" t="s">
        <v>715</v>
      </c>
      <c r="B216" s="38" t="s">
        <v>938</v>
      </c>
      <c r="C216" s="38" t="s">
        <v>939</v>
      </c>
      <c r="D216" s="39" t="s">
        <v>940</v>
      </c>
      <c r="E216" t="str">
        <f>VLOOKUP(A216,'BD Parametros'!B:M,12,FALSE)</f>
        <v>RE-098</v>
      </c>
    </row>
    <row r="217" spans="1:5" x14ac:dyDescent="0.3">
      <c r="A217" s="37" t="s">
        <v>718</v>
      </c>
      <c r="B217" s="38" t="s">
        <v>945</v>
      </c>
      <c r="C217" s="38" t="s">
        <v>931</v>
      </c>
      <c r="D217" s="39" t="s">
        <v>932</v>
      </c>
      <c r="E217" t="str">
        <f>VLOOKUP(A217,'BD Parametros'!B:M,12,FALSE)</f>
        <v>RE-268</v>
      </c>
    </row>
    <row r="218" spans="1:5" x14ac:dyDescent="0.3">
      <c r="A218" s="37" t="s">
        <v>721</v>
      </c>
      <c r="B218" s="38" t="s">
        <v>937</v>
      </c>
      <c r="C218" s="38" t="s">
        <v>934</v>
      </c>
      <c r="D218" s="39" t="s">
        <v>935</v>
      </c>
      <c r="E218" t="str">
        <f>VLOOKUP(A218,'BD Parametros'!B:M,12,FALSE)</f>
        <v>RE-039</v>
      </c>
    </row>
    <row r="219" spans="1:5" x14ac:dyDescent="0.3">
      <c r="A219" s="34" t="s">
        <v>724</v>
      </c>
      <c r="B219" s="35" t="s">
        <v>936</v>
      </c>
      <c r="C219" s="35" t="s">
        <v>931</v>
      </c>
      <c r="D219" s="36" t="s">
        <v>932</v>
      </c>
      <c r="E219" t="str">
        <f>VLOOKUP(A219,'BD Parametros'!B:M,12,FALSE)</f>
        <v>RE-270</v>
      </c>
    </row>
    <row r="220" spans="1:5" x14ac:dyDescent="0.3">
      <c r="A220" s="34" t="s">
        <v>727</v>
      </c>
      <c r="B220" s="35" t="s">
        <v>948</v>
      </c>
      <c r="C220" s="35" t="s">
        <v>931</v>
      </c>
      <c r="D220" s="36" t="s">
        <v>932</v>
      </c>
      <c r="E220" t="str">
        <f>VLOOKUP(A220,'BD Parametros'!B:M,12,FALSE)</f>
        <v>RE-103</v>
      </c>
    </row>
    <row r="221" spans="1:5" x14ac:dyDescent="0.3">
      <c r="A221" s="34" t="s">
        <v>730</v>
      </c>
      <c r="B221" s="35" t="s">
        <v>937</v>
      </c>
      <c r="C221" s="35" t="s">
        <v>941</v>
      </c>
      <c r="D221" s="36" t="s">
        <v>935</v>
      </c>
      <c r="E221" t="str">
        <f>VLOOKUP(A221,'BD Parametros'!B:M,12,FALSE)</f>
        <v>RE-099</v>
      </c>
    </row>
    <row r="222" spans="1:5" x14ac:dyDescent="0.3">
      <c r="A222" s="34" t="s">
        <v>733</v>
      </c>
      <c r="B222" s="35" t="s">
        <v>937</v>
      </c>
      <c r="C222" s="35" t="s">
        <v>941</v>
      </c>
      <c r="D222" s="36" t="s">
        <v>935</v>
      </c>
      <c r="E222" t="str">
        <f>VLOOKUP(A222,'BD Parametros'!B:M,12,FALSE)</f>
        <v>RE-020</v>
      </c>
    </row>
    <row r="223" spans="1:5" x14ac:dyDescent="0.3">
      <c r="A223" s="34" t="s">
        <v>736</v>
      </c>
      <c r="B223" s="35" t="s">
        <v>937</v>
      </c>
      <c r="C223" s="35" t="s">
        <v>934</v>
      </c>
      <c r="D223" s="36" t="s">
        <v>935</v>
      </c>
      <c r="E223" t="str">
        <f>VLOOKUP(A223,'BD Parametros'!B:M,12,FALSE)</f>
        <v>RE-092</v>
      </c>
    </row>
    <row r="224" spans="1:5" x14ac:dyDescent="0.3">
      <c r="A224" s="34" t="s">
        <v>739</v>
      </c>
      <c r="B224" s="35" t="s">
        <v>945</v>
      </c>
      <c r="C224" s="35" t="s">
        <v>931</v>
      </c>
      <c r="D224" s="36" t="s">
        <v>932</v>
      </c>
      <c r="E224" t="str">
        <f>VLOOKUP(A224,'BD Parametros'!B:M,12,FALSE)</f>
        <v>RE-026</v>
      </c>
    </row>
    <row r="225" spans="1:5" x14ac:dyDescent="0.3">
      <c r="A225" s="37" t="s">
        <v>742</v>
      </c>
      <c r="B225" s="38" t="s">
        <v>937</v>
      </c>
      <c r="C225" s="38" t="s">
        <v>934</v>
      </c>
      <c r="D225" s="39" t="s">
        <v>935</v>
      </c>
      <c r="E225" t="str">
        <f>VLOOKUP(A225,'BD Parametros'!B:M,12,FALSE)</f>
        <v>RE-088</v>
      </c>
    </row>
    <row r="226" spans="1:5" x14ac:dyDescent="0.3">
      <c r="A226" s="34" t="s">
        <v>745</v>
      </c>
      <c r="B226" s="35" t="s">
        <v>938</v>
      </c>
      <c r="C226" s="35" t="s">
        <v>939</v>
      </c>
      <c r="D226" s="36" t="s">
        <v>940</v>
      </c>
      <c r="E226" t="str">
        <f>VLOOKUP(A226,'BD Parametros'!B:M,12,FALSE)</f>
        <v>RE-091</v>
      </c>
    </row>
    <row r="227" spans="1:5" x14ac:dyDescent="0.3">
      <c r="A227" s="37" t="s">
        <v>748</v>
      </c>
      <c r="B227" s="38" t="s">
        <v>945</v>
      </c>
      <c r="C227" s="38" t="s">
        <v>931</v>
      </c>
      <c r="D227" s="39" t="s">
        <v>932</v>
      </c>
      <c r="E227" t="str">
        <f>VLOOKUP(A227,'BD Parametros'!B:M,12,FALSE)</f>
        <v>RE-010</v>
      </c>
    </row>
    <row r="228" spans="1:5" x14ac:dyDescent="0.3">
      <c r="A228" s="37" t="s">
        <v>751</v>
      </c>
      <c r="B228" s="38" t="s">
        <v>946</v>
      </c>
      <c r="C228" s="38" t="s">
        <v>944</v>
      </c>
      <c r="D228" s="39" t="s">
        <v>940</v>
      </c>
      <c r="E228" t="str">
        <f>VLOOKUP(A228,'BD Parametros'!B:M,12,FALSE)</f>
        <v>RE-033</v>
      </c>
    </row>
    <row r="229" spans="1:5" x14ac:dyDescent="0.3">
      <c r="A229" s="37" t="s">
        <v>754</v>
      </c>
      <c r="B229" s="38" t="s">
        <v>936</v>
      </c>
      <c r="C229" s="38" t="s">
        <v>931</v>
      </c>
      <c r="D229" s="39" t="s">
        <v>932</v>
      </c>
      <c r="E229" t="str">
        <f>VLOOKUP(A229,'BD Parametros'!B:M,12,FALSE)</f>
        <v>RE-013</v>
      </c>
    </row>
    <row r="230" spans="1:5" x14ac:dyDescent="0.3">
      <c r="A230" s="34" t="s">
        <v>757</v>
      </c>
      <c r="B230" s="35" t="s">
        <v>937</v>
      </c>
      <c r="C230" s="35" t="s">
        <v>941</v>
      </c>
      <c r="D230" s="36" t="s">
        <v>935</v>
      </c>
      <c r="E230" t="str">
        <f>VLOOKUP(A230,'BD Parametros'!B:M,12,FALSE)</f>
        <v>RE-029</v>
      </c>
    </row>
    <row r="231" spans="1:5" x14ac:dyDescent="0.3">
      <c r="A231" s="34" t="s">
        <v>760</v>
      </c>
      <c r="B231" s="35" t="s">
        <v>937</v>
      </c>
      <c r="C231" s="35" t="s">
        <v>934</v>
      </c>
      <c r="D231" s="36" t="s">
        <v>935</v>
      </c>
      <c r="E231" t="str">
        <f>VLOOKUP(A231,'BD Parametros'!B:M,12,FALSE)</f>
        <v>RE-032</v>
      </c>
    </row>
    <row r="232" spans="1:5" x14ac:dyDescent="0.3">
      <c r="A232" s="34" t="s">
        <v>763</v>
      </c>
      <c r="B232" s="35" t="s">
        <v>930</v>
      </c>
      <c r="C232" s="35" t="s">
        <v>931</v>
      </c>
      <c r="D232" s="36" t="s">
        <v>932</v>
      </c>
      <c r="E232" t="str">
        <f>VLOOKUP(A232,'BD Parametros'!B:M,12,FALSE)</f>
        <v>RE-059</v>
      </c>
    </row>
    <row r="233" spans="1:5" x14ac:dyDescent="0.3">
      <c r="A233" s="37" t="s">
        <v>766</v>
      </c>
      <c r="B233" s="38" t="s">
        <v>937</v>
      </c>
      <c r="C233" s="38" t="s">
        <v>941</v>
      </c>
      <c r="D233" s="39" t="s">
        <v>935</v>
      </c>
      <c r="E233" t="str">
        <f>VLOOKUP(A233,'BD Parametros'!B:M,12,FALSE)</f>
        <v>RE-036</v>
      </c>
    </row>
    <row r="234" spans="1:5" x14ac:dyDescent="0.3">
      <c r="A234" s="37" t="s">
        <v>769</v>
      </c>
      <c r="B234" s="38" t="s">
        <v>937</v>
      </c>
      <c r="C234" s="38" t="s">
        <v>934</v>
      </c>
      <c r="D234" s="39" t="s">
        <v>935</v>
      </c>
      <c r="E234" t="str">
        <f>VLOOKUP(A234,'BD Parametros'!B:M,12,FALSE)</f>
        <v>RE-019</v>
      </c>
    </row>
    <row r="235" spans="1:5" x14ac:dyDescent="0.3">
      <c r="A235" s="34" t="s">
        <v>772</v>
      </c>
      <c r="B235" s="35" t="s">
        <v>937</v>
      </c>
      <c r="C235" s="35" t="s">
        <v>941</v>
      </c>
      <c r="D235" s="36" t="s">
        <v>935</v>
      </c>
      <c r="E235" t="str">
        <f>VLOOKUP(A235,'BD Parametros'!B:M,12,FALSE)</f>
        <v>RE-094</v>
      </c>
    </row>
    <row r="236" spans="1:5" x14ac:dyDescent="0.3">
      <c r="A236" s="34" t="s">
        <v>775</v>
      </c>
      <c r="B236" s="35" t="s">
        <v>936</v>
      </c>
      <c r="C236" s="35" t="s">
        <v>931</v>
      </c>
      <c r="D236" s="36" t="s">
        <v>932</v>
      </c>
      <c r="E236" t="str">
        <f>VLOOKUP(A236,'BD Parametros'!B:M,12,FALSE)</f>
        <v>RE-006</v>
      </c>
    </row>
    <row r="237" spans="1:5" x14ac:dyDescent="0.3">
      <c r="A237" s="37" t="s">
        <v>778</v>
      </c>
      <c r="B237" s="38" t="s">
        <v>945</v>
      </c>
      <c r="C237" s="38" t="s">
        <v>931</v>
      </c>
      <c r="D237" s="39" t="s">
        <v>932</v>
      </c>
      <c r="E237" t="str">
        <f>VLOOKUP(A237,'BD Parametros'!B:M,12,FALSE)</f>
        <v>RE-001</v>
      </c>
    </row>
    <row r="238" spans="1:5" x14ac:dyDescent="0.3">
      <c r="A238" s="34" t="s">
        <v>781</v>
      </c>
      <c r="B238" s="35" t="s">
        <v>938</v>
      </c>
      <c r="C238" s="35" t="s">
        <v>939</v>
      </c>
      <c r="D238" s="36" t="s">
        <v>940</v>
      </c>
      <c r="E238" t="str">
        <f>VLOOKUP(A238,'BD Parametros'!B:M,12,FALSE)</f>
        <v>RE-095</v>
      </c>
    </row>
    <row r="239" spans="1:5" x14ac:dyDescent="0.3">
      <c r="A239" s="34" t="s">
        <v>784</v>
      </c>
      <c r="B239" s="35" t="s">
        <v>945</v>
      </c>
      <c r="C239" s="35" t="s">
        <v>931</v>
      </c>
      <c r="D239" s="36" t="s">
        <v>932</v>
      </c>
      <c r="E239" t="str">
        <f>VLOOKUP(A239,'BD Parametros'!B:M,12,FALSE)</f>
        <v>RE-016</v>
      </c>
    </row>
    <row r="240" spans="1:5" x14ac:dyDescent="0.3">
      <c r="A240" s="34" t="s">
        <v>787</v>
      </c>
      <c r="B240" s="35" t="s">
        <v>937</v>
      </c>
      <c r="C240" s="35" t="s">
        <v>934</v>
      </c>
      <c r="D240" s="36" t="s">
        <v>935</v>
      </c>
      <c r="E240" t="str">
        <f>VLOOKUP(A240,'BD Parametros'!B:M,12,FALSE)</f>
        <v>RE-100</v>
      </c>
    </row>
    <row r="241" spans="1:5" x14ac:dyDescent="0.3">
      <c r="A241" s="34" t="s">
        <v>790</v>
      </c>
      <c r="B241" s="35" t="s">
        <v>945</v>
      </c>
      <c r="C241" s="35" t="s">
        <v>931</v>
      </c>
      <c r="D241" s="36" t="s">
        <v>932</v>
      </c>
      <c r="E241" t="str">
        <f>VLOOKUP(A241,'BD Parametros'!B:M,12,FALSE)</f>
        <v>RE-004</v>
      </c>
    </row>
    <row r="242" spans="1:5" x14ac:dyDescent="0.3">
      <c r="A242" s="34" t="s">
        <v>793</v>
      </c>
      <c r="B242" s="35" t="s">
        <v>930</v>
      </c>
      <c r="C242" s="35" t="s">
        <v>931</v>
      </c>
      <c r="D242" s="36" t="s">
        <v>932</v>
      </c>
      <c r="E242" t="str">
        <f>VLOOKUP(A242,'BD Parametros'!B:M,12,FALSE)</f>
        <v>RE-008</v>
      </c>
    </row>
    <row r="243" spans="1:5" x14ac:dyDescent="0.3">
      <c r="A243" s="37" t="s">
        <v>796</v>
      </c>
      <c r="B243" s="38" t="s">
        <v>945</v>
      </c>
      <c r="C243" s="38" t="s">
        <v>931</v>
      </c>
      <c r="D243" s="39" t="s">
        <v>932</v>
      </c>
      <c r="E243" t="str">
        <f>VLOOKUP(A243,'BD Parametros'!B:M,12,FALSE)</f>
        <v>RE-012</v>
      </c>
    </row>
    <row r="244" spans="1:5" x14ac:dyDescent="0.3">
      <c r="A244" s="34" t="s">
        <v>799</v>
      </c>
      <c r="B244" s="35" t="s">
        <v>942</v>
      </c>
      <c r="C244" s="35" t="s">
        <v>944</v>
      </c>
      <c r="D244" s="36" t="s">
        <v>940</v>
      </c>
      <c r="E244" t="str">
        <f>VLOOKUP(A244,'BD Parametros'!B:M,12,FALSE)</f>
        <v>RE-074</v>
      </c>
    </row>
    <row r="245" spans="1:5" x14ac:dyDescent="0.3">
      <c r="A245" s="34" t="s">
        <v>802</v>
      </c>
      <c r="B245" s="35" t="s">
        <v>936</v>
      </c>
      <c r="C245" s="35" t="s">
        <v>931</v>
      </c>
      <c r="D245" s="36" t="s">
        <v>932</v>
      </c>
      <c r="E245" t="str">
        <f>VLOOKUP(A245,'BD Parametros'!B:M,12,FALSE)</f>
        <v>RE-005</v>
      </c>
    </row>
    <row r="246" spans="1:5" x14ac:dyDescent="0.3">
      <c r="A246" s="34" t="s">
        <v>805</v>
      </c>
      <c r="B246" s="35" t="s">
        <v>945</v>
      </c>
      <c r="C246" s="35" t="s">
        <v>931</v>
      </c>
      <c r="D246" s="36" t="s">
        <v>932</v>
      </c>
      <c r="E246" t="str">
        <f>VLOOKUP(A246,'BD Parametros'!B:M,12,FALSE)</f>
        <v>RE-002</v>
      </c>
    </row>
    <row r="247" spans="1:5" x14ac:dyDescent="0.3">
      <c r="A247" s="34" t="s">
        <v>808</v>
      </c>
      <c r="B247" s="35" t="s">
        <v>936</v>
      </c>
      <c r="C247" s="35" t="s">
        <v>931</v>
      </c>
      <c r="D247" s="36" t="s">
        <v>932</v>
      </c>
      <c r="E247" t="str">
        <f>VLOOKUP(A247,'BD Parametros'!B:M,12,FALSE)</f>
        <v>RE-015</v>
      </c>
    </row>
    <row r="248" spans="1:5" x14ac:dyDescent="0.3">
      <c r="A248" s="34" t="s">
        <v>811</v>
      </c>
      <c r="B248" s="35" t="s">
        <v>930</v>
      </c>
      <c r="C248" s="35" t="s">
        <v>931</v>
      </c>
      <c r="D248" s="36" t="s">
        <v>932</v>
      </c>
      <c r="E248" t="str">
        <f>VLOOKUP(A248,'BD Parametros'!B:M,12,FALSE)</f>
        <v>RE-009</v>
      </c>
    </row>
    <row r="249" spans="1:5" x14ac:dyDescent="0.3">
      <c r="A249" s="34" t="s">
        <v>814</v>
      </c>
      <c r="B249" s="35" t="s">
        <v>945</v>
      </c>
      <c r="C249" s="35" t="s">
        <v>931</v>
      </c>
      <c r="D249" s="36" t="s">
        <v>932</v>
      </c>
      <c r="E249" t="str">
        <f>VLOOKUP(A249,'BD Parametros'!B:M,12,FALSE)</f>
        <v>RE-003</v>
      </c>
    </row>
    <row r="250" spans="1:5" x14ac:dyDescent="0.3">
      <c r="A250" s="34" t="s">
        <v>817</v>
      </c>
      <c r="B250" s="35" t="s">
        <v>936</v>
      </c>
      <c r="C250" s="35" t="s">
        <v>931</v>
      </c>
      <c r="D250" s="36" t="s">
        <v>932</v>
      </c>
      <c r="E250" t="str">
        <f>VLOOKUP(A250,'BD Parametros'!B:M,12,FALSE)</f>
        <v>RE-017</v>
      </c>
    </row>
    <row r="251" spans="1:5" x14ac:dyDescent="0.3">
      <c r="A251" s="34" t="s">
        <v>820</v>
      </c>
      <c r="B251" s="35" t="s">
        <v>945</v>
      </c>
      <c r="C251" s="35" t="s">
        <v>931</v>
      </c>
      <c r="D251" s="36" t="s">
        <v>932</v>
      </c>
      <c r="E251" t="str">
        <f>VLOOKUP(A251,'BD Parametros'!B:M,12,FALSE)</f>
        <v>RE-014</v>
      </c>
    </row>
    <row r="252" spans="1:5" x14ac:dyDescent="0.3">
      <c r="A252" s="37" t="s">
        <v>823</v>
      </c>
      <c r="B252" s="38" t="s">
        <v>943</v>
      </c>
      <c r="C252" s="38" t="s">
        <v>944</v>
      </c>
      <c r="D252" s="39" t="s">
        <v>940</v>
      </c>
      <c r="E252" t="str">
        <f>VLOOKUP(A252,'BD Parametros'!B:M,12,FALSE)</f>
        <v>RE-073</v>
      </c>
    </row>
    <row r="253" spans="1:5" x14ac:dyDescent="0.3">
      <c r="A253" s="34" t="s">
        <v>825</v>
      </c>
      <c r="B253" s="35" t="s">
        <v>936</v>
      </c>
      <c r="C253" s="35" t="s">
        <v>931</v>
      </c>
      <c r="D253" s="36" t="s">
        <v>932</v>
      </c>
      <c r="E253" t="str">
        <f>VLOOKUP(A253,'BD Parametros'!B:M,12,FALSE)</f>
        <v>RE-007</v>
      </c>
    </row>
    <row r="254" spans="1:5" x14ac:dyDescent="0.3">
      <c r="A254" s="37" t="s">
        <v>828</v>
      </c>
      <c r="B254" s="38" t="s">
        <v>936</v>
      </c>
      <c r="C254" s="38" t="s">
        <v>931</v>
      </c>
      <c r="D254" s="39" t="s">
        <v>932</v>
      </c>
      <c r="E254" t="str">
        <f>VLOOKUP(A254,'BD Parametros'!B:M,12,FALSE)</f>
        <v>RE-011</v>
      </c>
    </row>
    <row r="255" spans="1:5" x14ac:dyDescent="0.3">
      <c r="A255" s="34" t="s">
        <v>831</v>
      </c>
      <c r="B255" s="35" t="s">
        <v>945</v>
      </c>
      <c r="C255" s="35" t="s">
        <v>931</v>
      </c>
      <c r="D255" s="36" t="s">
        <v>932</v>
      </c>
      <c r="E255" t="str">
        <f>VLOOKUP(A255,'BD Parametros'!B:M,12,FALSE)</f>
        <v>RE-052</v>
      </c>
    </row>
    <row r="256" spans="1:5" x14ac:dyDescent="0.3">
      <c r="A256" s="34" t="s">
        <v>833</v>
      </c>
      <c r="B256" s="35" t="s">
        <v>938</v>
      </c>
      <c r="C256" s="35" t="s">
        <v>939</v>
      </c>
      <c r="D256" s="36" t="s">
        <v>940</v>
      </c>
      <c r="E256" t="str">
        <f>VLOOKUP(A256,'BD Parametros'!B:M,12,FALSE)</f>
        <v>RE-313</v>
      </c>
    </row>
    <row r="257" spans="1:5" x14ac:dyDescent="0.3">
      <c r="A257" s="37" t="s">
        <v>836</v>
      </c>
      <c r="B257" s="38" t="s">
        <v>938</v>
      </c>
      <c r="C257" s="38" t="s">
        <v>939</v>
      </c>
      <c r="D257" s="39" t="s">
        <v>940</v>
      </c>
      <c r="E257" t="str">
        <f>VLOOKUP(A257,'BD Parametros'!B:M,12,FALSE)</f>
        <v>RE-314</v>
      </c>
    </row>
    <row r="258" spans="1:5" x14ac:dyDescent="0.3">
      <c r="A258" s="34" t="s">
        <v>839</v>
      </c>
      <c r="B258" s="35" t="s">
        <v>949</v>
      </c>
      <c r="C258" s="35" t="s">
        <v>939</v>
      </c>
      <c r="D258" s="36" t="s">
        <v>940</v>
      </c>
      <c r="E258" t="str">
        <f>VLOOKUP(A258,'BD Parametros'!B:M,12,FALSE)</f>
        <v>RE-315</v>
      </c>
    </row>
    <row r="259" spans="1:5" x14ac:dyDescent="0.3">
      <c r="A259" s="34" t="s">
        <v>842</v>
      </c>
      <c r="B259" s="35" t="s">
        <v>938</v>
      </c>
      <c r="C259" s="35" t="s">
        <v>939</v>
      </c>
      <c r="D259" s="36" t="s">
        <v>940</v>
      </c>
      <c r="E259" t="str">
        <f>VLOOKUP(A259,'BD Parametros'!B:M,12,FALSE)</f>
        <v>RE-316</v>
      </c>
    </row>
    <row r="260" spans="1:5" x14ac:dyDescent="0.3">
      <c r="A260" s="37" t="s">
        <v>845</v>
      </c>
      <c r="B260" s="38" t="s">
        <v>938</v>
      </c>
      <c r="C260" s="38" t="s">
        <v>939</v>
      </c>
      <c r="D260" s="39" t="s">
        <v>940</v>
      </c>
      <c r="E260" t="str">
        <f>VLOOKUP(A260,'BD Parametros'!B:M,12,FALSE)</f>
        <v>RE-317</v>
      </c>
    </row>
    <row r="261" spans="1:5" x14ac:dyDescent="0.3">
      <c r="A261" s="34" t="s">
        <v>848</v>
      </c>
      <c r="B261" s="35" t="s">
        <v>938</v>
      </c>
      <c r="C261" s="35" t="s">
        <v>939</v>
      </c>
      <c r="D261" s="36" t="s">
        <v>940</v>
      </c>
      <c r="E261" t="str">
        <f>VLOOKUP(A261,'BD Parametros'!B:M,12,FALSE)</f>
        <v>RE-318</v>
      </c>
    </row>
    <row r="262" spans="1:5" x14ac:dyDescent="0.3">
      <c r="A262" s="34" t="s">
        <v>851</v>
      </c>
      <c r="B262" s="35" t="s">
        <v>949</v>
      </c>
      <c r="C262" s="35" t="s">
        <v>939</v>
      </c>
      <c r="D262" s="36" t="s">
        <v>940</v>
      </c>
      <c r="E262" t="str">
        <f>VLOOKUP(A262,'BD Parametros'!B:M,12,FALSE)</f>
        <v>RE-319</v>
      </c>
    </row>
    <row r="263" spans="1:5" x14ac:dyDescent="0.3">
      <c r="A263" s="37" t="s">
        <v>854</v>
      </c>
      <c r="B263" s="38" t="s">
        <v>938</v>
      </c>
      <c r="C263" s="38" t="s">
        <v>939</v>
      </c>
      <c r="D263" s="39" t="s">
        <v>940</v>
      </c>
      <c r="E263" t="str">
        <f>VLOOKUP(A263,'BD Parametros'!B:M,12,FALSE)</f>
        <v>RE-320</v>
      </c>
    </row>
    <row r="264" spans="1:5" x14ac:dyDescent="0.3">
      <c r="A264" s="37" t="s">
        <v>857</v>
      </c>
      <c r="B264" s="38" t="s">
        <v>938</v>
      </c>
      <c r="C264" s="38" t="s">
        <v>939</v>
      </c>
      <c r="D264" s="39" t="s">
        <v>940</v>
      </c>
      <c r="E264" t="str">
        <f>VLOOKUP(A264,'BD Parametros'!B:M,12,FALSE)</f>
        <v>RE-321</v>
      </c>
    </row>
    <row r="265" spans="1:5" x14ac:dyDescent="0.3">
      <c r="A265" s="34" t="s">
        <v>860</v>
      </c>
      <c r="B265" s="35" t="s">
        <v>938</v>
      </c>
      <c r="C265" s="35" t="s">
        <v>939</v>
      </c>
      <c r="D265" s="36" t="s">
        <v>940</v>
      </c>
      <c r="E265" t="str">
        <f>VLOOKUP(A265,'BD Parametros'!B:M,12,FALSE)</f>
        <v>RE-322</v>
      </c>
    </row>
    <row r="266" spans="1:5" x14ac:dyDescent="0.3">
      <c r="A266" s="37" t="s">
        <v>863</v>
      </c>
      <c r="B266" s="38" t="s">
        <v>938</v>
      </c>
      <c r="C266" s="38" t="s">
        <v>939</v>
      </c>
      <c r="D266" s="39" t="s">
        <v>940</v>
      </c>
      <c r="E266" t="str">
        <f>VLOOKUP(A266,'BD Parametros'!B:M,12,FALSE)</f>
        <v>RE-104</v>
      </c>
    </row>
    <row r="267" spans="1:5" x14ac:dyDescent="0.3">
      <c r="A267" s="34" t="s">
        <v>866</v>
      </c>
      <c r="B267" s="35" t="s">
        <v>937</v>
      </c>
      <c r="C267" s="35" t="s">
        <v>934</v>
      </c>
      <c r="D267" s="36" t="s">
        <v>935</v>
      </c>
      <c r="E267" t="str">
        <f>VLOOKUP(A267,'BD Parametros'!B:M,12,FALSE)</f>
        <v>RE-034</v>
      </c>
    </row>
    <row r="268" spans="1:5" x14ac:dyDescent="0.3">
      <c r="A268" s="34" t="s">
        <v>869</v>
      </c>
      <c r="B268" s="35" t="s">
        <v>946</v>
      </c>
      <c r="C268" s="35" t="s">
        <v>944</v>
      </c>
      <c r="D268" s="36" t="s">
        <v>940</v>
      </c>
      <c r="E268" t="str">
        <f>VLOOKUP(A268,'BD Parametros'!B:M,12,FALSE)</f>
        <v>RE-072</v>
      </c>
    </row>
    <row r="269" spans="1:5" x14ac:dyDescent="0.3">
      <c r="A269" s="34" t="s">
        <v>871</v>
      </c>
      <c r="B269" s="35" t="s">
        <v>938</v>
      </c>
      <c r="C269" s="35" t="s">
        <v>939</v>
      </c>
      <c r="D269" s="36" t="s">
        <v>940</v>
      </c>
      <c r="E269" t="str">
        <f>VLOOKUP(A269,'BD Parametros'!B:M,12,FALSE)</f>
        <v>RE-068</v>
      </c>
    </row>
    <row r="270" spans="1:5" x14ac:dyDescent="0.3">
      <c r="A270" s="34" t="s">
        <v>874</v>
      </c>
      <c r="B270" s="35" t="s">
        <v>937</v>
      </c>
      <c r="C270" s="35" t="s">
        <v>934</v>
      </c>
      <c r="D270" s="36" t="s">
        <v>935</v>
      </c>
      <c r="E270" t="str">
        <f>VLOOKUP(A270,'BD Parametros'!B:M,12,FALSE)</f>
        <v>RE-111</v>
      </c>
    </row>
    <row r="271" spans="1:5" x14ac:dyDescent="0.3">
      <c r="A271" s="34" t="s">
        <v>876</v>
      </c>
      <c r="B271" s="35" t="s">
        <v>948</v>
      </c>
      <c r="C271" s="35" t="s">
        <v>931</v>
      </c>
      <c r="D271" s="36" t="s">
        <v>932</v>
      </c>
      <c r="E271" t="str">
        <f>VLOOKUP(A271,'BD Parametros'!B:M,12,FALSE)</f>
        <v>RE-056</v>
      </c>
    </row>
    <row r="272" spans="1:5" x14ac:dyDescent="0.3">
      <c r="A272" s="34" t="s">
        <v>879</v>
      </c>
      <c r="B272" s="35" t="s">
        <v>946</v>
      </c>
      <c r="C272" s="35" t="s">
        <v>944</v>
      </c>
      <c r="D272" s="36" t="s">
        <v>940</v>
      </c>
      <c r="E272" t="str">
        <f>VLOOKUP(A272,'BD Parametros'!B:M,12,FALSE)</f>
        <v>RE-079</v>
      </c>
    </row>
    <row r="273" spans="1:5" x14ac:dyDescent="0.3">
      <c r="A273" s="34" t="s">
        <v>882</v>
      </c>
      <c r="B273" s="35" t="s">
        <v>946</v>
      </c>
      <c r="C273" s="35" t="s">
        <v>944</v>
      </c>
      <c r="D273" s="36" t="s">
        <v>940</v>
      </c>
      <c r="E273" t="str">
        <f>VLOOKUP(A273,'BD Parametros'!B:M,12,FALSE)</f>
        <v>RE-109</v>
      </c>
    </row>
    <row r="274" spans="1:5" x14ac:dyDescent="0.3">
      <c r="A274" s="34" t="s">
        <v>885</v>
      </c>
      <c r="B274" s="35" t="s">
        <v>937</v>
      </c>
      <c r="C274" s="35" t="s">
        <v>934</v>
      </c>
      <c r="D274" s="36" t="s">
        <v>935</v>
      </c>
      <c r="E274" t="str">
        <f>VLOOKUP(A274,'BD Parametros'!B:M,12,FALSE)</f>
        <v>RE-114</v>
      </c>
    </row>
    <row r="275" spans="1:5" x14ac:dyDescent="0.3">
      <c r="A275" s="34" t="s">
        <v>888</v>
      </c>
      <c r="B275" s="35" t="s">
        <v>937</v>
      </c>
      <c r="C275" s="35" t="s">
        <v>934</v>
      </c>
      <c r="D275" s="36" t="s">
        <v>935</v>
      </c>
      <c r="E275" t="str">
        <f>VLOOKUP(A275,'BD Parametros'!B:M,12,FALSE)</f>
        <v>RE-070</v>
      </c>
    </row>
    <row r="276" spans="1:5" x14ac:dyDescent="0.3">
      <c r="A276" s="34" t="s">
        <v>891</v>
      </c>
      <c r="B276" s="35" t="s">
        <v>937</v>
      </c>
      <c r="C276" s="35" t="s">
        <v>934</v>
      </c>
      <c r="D276" s="36" t="s">
        <v>935</v>
      </c>
      <c r="E276" t="str">
        <f>VLOOKUP(A276,'BD Parametros'!B:M,12,FALSE)</f>
        <v>RE-113</v>
      </c>
    </row>
    <row r="277" spans="1:5" x14ac:dyDescent="0.3">
      <c r="A277" s="34" t="s">
        <v>894</v>
      </c>
      <c r="B277" s="35" t="s">
        <v>946</v>
      </c>
      <c r="C277" s="35" t="s">
        <v>944</v>
      </c>
      <c r="D277" s="36" t="s">
        <v>940</v>
      </c>
      <c r="E277" t="str">
        <f>VLOOKUP(A277,'BD Parametros'!B:M,12,FALSE)</f>
        <v>RE-053</v>
      </c>
    </row>
    <row r="278" spans="1:5" x14ac:dyDescent="0.3">
      <c r="A278" s="37" t="s">
        <v>896</v>
      </c>
      <c r="B278" s="38" t="s">
        <v>937</v>
      </c>
      <c r="C278" s="38" t="s">
        <v>934</v>
      </c>
      <c r="D278" s="39" t="s">
        <v>935</v>
      </c>
      <c r="E278" t="str">
        <f>VLOOKUP(A278,'BD Parametros'!B:M,12,FALSE)</f>
        <v>RE-069</v>
      </c>
    </row>
    <row r="279" spans="1:5" x14ac:dyDescent="0.3">
      <c r="A279" s="34" t="s">
        <v>899</v>
      </c>
      <c r="B279" s="35" t="s">
        <v>937</v>
      </c>
      <c r="C279" s="35" t="s">
        <v>934</v>
      </c>
      <c r="D279" s="36" t="s">
        <v>935</v>
      </c>
      <c r="E279" t="str">
        <f>VLOOKUP(A279,'BD Parametros'!B:M,12,FALSE)</f>
        <v>RE-107</v>
      </c>
    </row>
    <row r="280" spans="1:5" x14ac:dyDescent="0.3">
      <c r="A280" s="34" t="s">
        <v>902</v>
      </c>
      <c r="B280" s="35" t="s">
        <v>937</v>
      </c>
      <c r="C280" s="35" t="s">
        <v>934</v>
      </c>
      <c r="D280" s="36" t="s">
        <v>935</v>
      </c>
      <c r="E280" t="str">
        <f>VLOOKUP(A280,'BD Parametros'!B:M,12,FALSE)</f>
        <v>RE-045</v>
      </c>
    </row>
    <row r="281" spans="1:5" x14ac:dyDescent="0.3">
      <c r="A281" s="34" t="s">
        <v>905</v>
      </c>
      <c r="B281" s="35" t="s">
        <v>933</v>
      </c>
      <c r="C281" s="35" t="s">
        <v>934</v>
      </c>
      <c r="D281" s="36" t="s">
        <v>935</v>
      </c>
      <c r="E281" t="str">
        <f>VLOOKUP(A281,'BD Parametros'!B:M,12,FALSE)</f>
        <v>RE-C05</v>
      </c>
    </row>
  </sheetData>
  <autoFilter ref="A1:E281" xr:uid="{F03DF7C6-EF0B-4C4B-A1B5-6B710FD073E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3870-FF72-4BF2-9109-85B33508226B}">
  <dimension ref="A1"/>
  <sheetViews>
    <sheetView showGridLines="0" zoomScale="80" zoomScaleNormal="80" workbookViewId="0">
      <selection activeCell="M21" sqref="M21"/>
    </sheetView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341-3B99-4771-A238-AE5DA4C3CFFD}">
  <dimension ref="A1:B10"/>
  <sheetViews>
    <sheetView showGridLines="0" workbookViewId="0">
      <selection activeCell="G11" sqref="G11"/>
    </sheetView>
  </sheetViews>
  <sheetFormatPr baseColWidth="10" defaultColWidth="11.44140625" defaultRowHeight="14.4" x14ac:dyDescent="0.3"/>
  <cols>
    <col min="1" max="1" width="17" style="1" bestFit="1" customWidth="1"/>
    <col min="2" max="2" width="19.109375" style="1" bestFit="1" customWidth="1"/>
    <col min="3" max="16384" width="11.44140625" style="1"/>
  </cols>
  <sheetData>
    <row r="1" spans="1:2" ht="15" thickBot="1" x14ac:dyDescent="0.35">
      <c r="A1" s="2" t="s">
        <v>951</v>
      </c>
      <c r="B1" s="3" t="s">
        <v>12</v>
      </c>
    </row>
    <row r="2" spans="1:2" x14ac:dyDescent="0.3">
      <c r="A2" s="1" t="s">
        <v>952</v>
      </c>
      <c r="B2" s="1" t="s">
        <v>953</v>
      </c>
    </row>
    <row r="3" spans="1:2" x14ac:dyDescent="0.3">
      <c r="A3" s="1" t="s">
        <v>952</v>
      </c>
      <c r="B3" s="1" t="s">
        <v>954</v>
      </c>
    </row>
    <row r="4" spans="1:2" x14ac:dyDescent="0.3">
      <c r="A4" s="1" t="s">
        <v>952</v>
      </c>
      <c r="B4" s="1" t="s">
        <v>955</v>
      </c>
    </row>
    <row r="5" spans="1:2" x14ac:dyDescent="0.3">
      <c r="A5" s="1" t="s">
        <v>952</v>
      </c>
      <c r="B5" s="1" t="s">
        <v>956</v>
      </c>
    </row>
    <row r="6" spans="1:2" x14ac:dyDescent="0.3">
      <c r="A6" s="1" t="s">
        <v>952</v>
      </c>
      <c r="B6" s="1" t="s">
        <v>957</v>
      </c>
    </row>
    <row r="7" spans="1:2" x14ac:dyDescent="0.3">
      <c r="A7" s="1" t="s">
        <v>958</v>
      </c>
      <c r="B7" s="1" t="s">
        <v>956</v>
      </c>
    </row>
    <row r="8" spans="1:2" x14ac:dyDescent="0.3">
      <c r="A8" s="1" t="s">
        <v>959</v>
      </c>
      <c r="B8" s="1" t="s">
        <v>957</v>
      </c>
    </row>
    <row r="9" spans="1:2" x14ac:dyDescent="0.3">
      <c r="A9" s="1" t="s">
        <v>959</v>
      </c>
      <c r="B9" s="1" t="s">
        <v>960</v>
      </c>
    </row>
    <row r="10" spans="1:2" x14ac:dyDescent="0.3">
      <c r="A10" s="1" t="s">
        <v>961</v>
      </c>
      <c r="B10" s="1" t="s">
        <v>953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419c60-2ba6-42c6-a9b3-c291dccb2d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66C77517935B47AFB4B432E875E66F" ma:contentTypeVersion="13" ma:contentTypeDescription="Crear nuevo documento." ma:contentTypeScope="" ma:versionID="d16e47c2cb691d0e9666d1ed885c205d">
  <xsd:schema xmlns:xsd="http://www.w3.org/2001/XMLSchema" xmlns:xs="http://www.w3.org/2001/XMLSchema" xmlns:p="http://schemas.microsoft.com/office/2006/metadata/properties" xmlns:ns3="09419c60-2ba6-42c6-a9b3-c291dccb2d7f" xmlns:ns4="ff7d24e9-6d3b-47ed-bd41-f7fcaa70477c" targetNamespace="http://schemas.microsoft.com/office/2006/metadata/properties" ma:root="true" ma:fieldsID="c2a4eb1bc9e87675592f9d817dbbc57d" ns3:_="" ns4:_="">
    <xsd:import namespace="09419c60-2ba6-42c6-a9b3-c291dccb2d7f"/>
    <xsd:import namespace="ff7d24e9-6d3b-47ed-bd41-f7fcaa7047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19c60-2ba6-42c6-a9b3-c291dccb2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d24e9-6d3b-47ed-bd41-f7fcaa704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0B1D79-4202-4345-9494-D655032E8EAD}">
  <ds:schemaRefs>
    <ds:schemaRef ds:uri="http://schemas.microsoft.com/office/2006/metadata/properties"/>
    <ds:schemaRef ds:uri="http://schemas.microsoft.com/office/infopath/2007/PartnerControls"/>
    <ds:schemaRef ds:uri="09419c60-2ba6-42c6-a9b3-c291dccb2d7f"/>
  </ds:schemaRefs>
</ds:datastoreItem>
</file>

<file path=customXml/itemProps2.xml><?xml version="1.0" encoding="utf-8"?>
<ds:datastoreItem xmlns:ds="http://schemas.openxmlformats.org/officeDocument/2006/customXml" ds:itemID="{1BB4D8B4-F823-4221-B56E-AC079FF14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419c60-2ba6-42c6-a9b3-c291dccb2d7f"/>
    <ds:schemaRef ds:uri="ff7d24e9-6d3b-47ed-bd41-f7fcaa704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2CC703-FCA3-4A7C-A571-448FBF589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BD Parametros</vt:lpstr>
      <vt:lpstr>Hoja2</vt:lpstr>
      <vt:lpstr>Hoja3</vt:lpstr>
      <vt:lpstr>Hoja1</vt:lpstr>
      <vt:lpstr>GRAFICO_UNID</vt:lpstr>
      <vt:lpstr>ESTRUCTURAS</vt:lpstr>
      <vt:lpstr>'BD Parametros'!Área_de_impresión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ERNESTO LUJAN TREVIÑO</dc:creator>
  <cp:keywords/>
  <dc:description/>
  <cp:lastModifiedBy>HUGO ALBERTO GUERRERO SAN MIGUEL</cp:lastModifiedBy>
  <cp:revision/>
  <dcterms:created xsi:type="dcterms:W3CDTF">2024-01-18T15:05:59Z</dcterms:created>
  <dcterms:modified xsi:type="dcterms:W3CDTF">2024-11-19T19:25:15Z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0x010100D866C77517935B47AFB4B432E875E66F</vt:lpwstr>
  </property>
  <property fmtid="{D5CDD505-2E9C-101B-9397-08002B2CF9AE}" pid="3" name="MediaServiceImageTags">
    <vt:lpwstr/>
  </property>
</Properties>
</file>